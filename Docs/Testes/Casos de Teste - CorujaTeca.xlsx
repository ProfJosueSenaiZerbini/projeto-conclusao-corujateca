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ADOS" sheetId="1" r:id="rId4"/>
    <sheet state="visible" name="UNITARIOS" sheetId="2" r:id="rId5"/>
    <sheet state="visible" name="FUNCIONAIS" sheetId="3" r:id="rId6"/>
  </sheets>
  <definedNames/>
  <calcPr/>
  <extLst>
    <ext uri="GoogleSheetsCustomDataVersion2">
      <go:sheetsCustomData xmlns:go="http://customooxmlschemas.google.com/" r:id="rId7" roundtripDataChecksum="jHP1AflqlItSY2xcAC6MxH9kFfN/pu1H1BHIpJl8hXo="/>
    </ext>
  </extLst>
</workbook>
</file>

<file path=xl/sharedStrings.xml><?xml version="1.0" encoding="utf-8"?>
<sst xmlns="http://schemas.openxmlformats.org/spreadsheetml/2006/main" count="421" uniqueCount="264">
  <si>
    <t>DESCRIÇÃO</t>
  </si>
  <si>
    <t>UNITÁRIOS</t>
  </si>
  <si>
    <t>FUNCIONAIS</t>
  </si>
  <si>
    <t>TESTES NÃO IMPLEMENTADOS</t>
  </si>
  <si>
    <t>TESTES IMPLEMENTADOS</t>
  </si>
  <si>
    <t>TESTES QUE PASSARAM</t>
  </si>
  <si>
    <t>TESTES QUE NÃO PASSARAM</t>
  </si>
  <si>
    <t>ID</t>
  </si>
  <si>
    <t>FUNCAO</t>
  </si>
  <si>
    <t>ARQUIVO</t>
  </si>
  <si>
    <t>DESCRIÇÃO DO CASO DE TESTE</t>
  </si>
  <si>
    <t>IMPL.</t>
  </si>
  <si>
    <t>PRÉ-CONDIÇÕES</t>
  </si>
  <si>
    <t>EXEMPLO DE ENTRADA</t>
  </si>
  <si>
    <t>COMO TESTAR A SAÍDA</t>
  </si>
  <si>
    <t>O QUE DEVE SER ANALISADO</t>
  </si>
  <si>
    <t>DESCRIÇÃO DO ULTIMO RESULTADO OBTIDO</t>
  </si>
  <si>
    <t>DATA</t>
  </si>
  <si>
    <t>TESTER</t>
  </si>
  <si>
    <t>STATUS</t>
  </si>
  <si>
    <t>CTU-001</t>
  </si>
  <si>
    <t>createExemplo()</t>
  </si>
  <si>
    <t>mainModel.js</t>
  </si>
  <si>
    <t xml:space="preserve">createExemplo() deve cadastrar um exemplo </t>
  </si>
  <si>
    <t>SIM</t>
  </si>
  <si>
    <t>NENHUMA</t>
  </si>
  <si>
    <t>{'DADO1','DADO2','DADO3'}</t>
  </si>
  <si>
    <t>1. Acessar o SGBD
2. Executar o seguinte select
Select * from tabelaExemplo;</t>
  </si>
  <si>
    <t>1. os dados cadastrados na entada devem ser iguais aos da saída</t>
  </si>
  <si>
    <t>Josué Rosario</t>
  </si>
  <si>
    <t>PASSOU</t>
  </si>
  <si>
    <t>FUNCIONALIDADE</t>
  </si>
  <si>
    <t>COMO EXECUTAR O TESTE</t>
  </si>
  <si>
    <t>CTF-001</t>
  </si>
  <si>
    <t>Login Bibliotecário</t>
  </si>
  <si>
    <t>Ao inserir o código de identificação do usuário do tipo bibliotecário e senha 
corretos, o sistema deve levar à tela inicial (home do bibliotecário)</t>
  </si>
  <si>
    <t>Usuário precisa ser do tipo bibliotecário e deve estar 
cadastrado no banco</t>
  </si>
  <si>
    <t>Código de identificação: 7
Senha: 12345678</t>
  </si>
  <si>
    <t>1. Abrir o sistema (página /login)
2. Clicar no card do bibliotecário
3. Inserir código de identificação e senha válido e pressionar "Entrar"</t>
  </si>
  <si>
    <t>1. A tela inicial de login foi mostrada com os cards de tipo de usuário
2. A tela de login correspondente ao tipo de usuário deve ser exibida
3. A tela de home do bibliotecário deve ser exibida</t>
  </si>
  <si>
    <t>O usuário do tipo bibliotecário logou com sucesso
no sistema</t>
  </si>
  <si>
    <t>Stephanny Borrozzino
Maria Luiza Dias Brito da Silva</t>
  </si>
  <si>
    <t>CTF-002</t>
  </si>
  <si>
    <t>Login Frequentador</t>
  </si>
  <si>
    <t>Ao inserir o código de identificação do usuário do tipo frequentador e senha 
corretos, o sistema deve levar à tela inicial (home do frequentador)</t>
  </si>
  <si>
    <t>Usuário precisa ser do tipo frequentador e deve estar 
cadastrado no banco</t>
  </si>
  <si>
    <t>Código de identificação: 23
Senha: 87654321</t>
  </si>
  <si>
    <t>1. Abrir o sistema (página /login)
2. Clicar no card do frequentador
3. Inserir código de identificação e senha válido e pressionar "Entrar"</t>
  </si>
  <si>
    <t>1. A tela inicial de login foi mostrada com os cards de tipo de usuário
2. A tela de login correspondente ao tipo de usuário deve ser exibida
3. A tela de home do frequentador deve ser exibida</t>
  </si>
  <si>
    <t>O usuário do tipo frequentador logou com sucesso
no sistema</t>
  </si>
  <si>
    <t>CTF-004</t>
  </si>
  <si>
    <t>Esqueceu a senha 
Bibliotecário</t>
  </si>
  <si>
    <t>Ao redefinir a senha inserindo a senha do usuário master, o código de 
autenticação e a nova senha, a senha deve ser trocada 
(do usuário correspondente)</t>
  </si>
  <si>
    <t>Código de identificação: 7
Uma nova senha: 01234567
Senha do usuário master: umasenhamuitosegura</t>
  </si>
  <si>
    <t>1. Abrir o sistema (página /login)
2. Clicar no card do bibliotecário
3. Clicar em "Esqueceu sua senha?"
4. Inserir senha master, código de identificação e a nova senha, e 
pressionar "Redefinir Senha"</t>
  </si>
  <si>
    <t xml:space="preserve">1. A tela inicial de login foi mostrada com os cards de tipo de usuário
2. A tela de login correspondente ao tipo de usuário deve ser exibida
3. A tela de esqueceu a senha deve ser exibida
4. Um modal confirmando a troca de senha deve ser exibido
</t>
  </si>
  <si>
    <t>O usuário do tipo bibliotecário redefiniu sua senha
 com sucesso no sistema</t>
  </si>
  <si>
    <t>CTF-005</t>
  </si>
  <si>
    <t>Esqueceu a senha 
Frequentador</t>
  </si>
  <si>
    <t>Código de identificação: 23
Uma nova senha: 01234567
Senha do usuário master: umasenhamuitosegura</t>
  </si>
  <si>
    <t xml:space="preserve">1. Abrir o sistema (página /login)
2. Clicar no card do frequentador
3. Clicar em "Esqueceu sua senha?"
4. Inserir senha master, código de identificação e a nova senha, e 
pressionar "Redefinir Senha"
</t>
  </si>
  <si>
    <t>1. A tela inicial de login foi mostrada com os cards de tipo de usuário
2. A tela de login correspondente ao tipo de usuário deve ser exibida
3. A tela de esqueceu a senha deve ser exibida
4. Um modal confirmando a troca de senha deve ser exibido</t>
  </si>
  <si>
    <t>O usuário do tipo frequentador redefiniu sua senha
 com sucesso no sistema</t>
  </si>
  <si>
    <t>CTF-006</t>
  </si>
  <si>
    <t>Cadastrar novo Bibliotecário</t>
  </si>
  <si>
    <t>Ao inserir um nome de usuário, senha do usuário master, telefone 
(ddd e número),  e senha, o sistema deve cadastrar o novo bibliotecário 
no banco</t>
  </si>
  <si>
    <t>Nenhuma</t>
  </si>
  <si>
    <t>Nome do usuario: Josue Rosario
Senha: 09876543
DDD: 19 
Número: 901921269
Senha do usuário master: umasenhamuitosegura</t>
  </si>
  <si>
    <t>1. Abrir o sistema (página /login)
2. Clicar no card do bibliotecário
3. Clicar em "Ainda não possui uma conta, bibliotecário?"
4. Inserir senha master, nome do usuário, ddd, número e senha, e 
pressionar "Cadastrar Bibliotecário"</t>
  </si>
  <si>
    <t>1. A tela inicial de login foi mostrada com os cards de tipo de usuário
2. A tela de login correspondente ao tipo de usuário deve ser exibida
3. A tela de cadastro de bibliotecário deve ser exibida
4. Um modal confirmando o cadastro e exibindo as informações correspondentes deve ser exibido</t>
  </si>
  <si>
    <t>O usuário do tipo bibliotecário foi cadastrado com 
sucesso no sistema</t>
  </si>
  <si>
    <t>CTF-007</t>
  </si>
  <si>
    <t>Cadastrar novo Livro</t>
  </si>
  <si>
    <t>Ao inserir os dados exigidos no modal, o livro deve ser cadastrado no banco</t>
  </si>
  <si>
    <t xml:space="preserve">Estar logado como bibliotecário </t>
  </si>
  <si>
    <t>Título: "As memórias de Vanitas vol. 3"
Autor: Jun Mochizuki, Raphael Munhoz, 
Eliana Takara
Editora: Panini Comics
Ano de Publicação: 2023
Gênero: Quadrinhos e Mangá
Localização: Estante7 Prateleira 3
URL: https://encrypted-tbn0.gstatic.com/images?q=tbn:ANd9GcRjxb9p46w12x061XbeJUM2Q9udf7-KUH9zYL0rmJwTFQ&amp;s=10
Sinopse: não é obrigatório</t>
  </si>
  <si>
    <t>1. Estando logado, vá para a página "Acervo"
2. Clique em "Cadastrar Novo Livro"
3. Insira os dados em seus respectivos campos sobre um livro 
(nem todos são obrigatórios) e clique em "Cadastrar Livro"</t>
  </si>
  <si>
    <t>1. A tela "Home" deve ser exibida
2. A tela "Acervo" deve ser exibida
3. O modal "Cadastrar Novo Livro" deve ser exibido
4. O livro deve aparecer cadastrado no acervo</t>
  </si>
  <si>
    <t>O livro deve ser cadastrado após inserir suas 
informações no modal "Cadastrar Novo Livro"</t>
  </si>
  <si>
    <t>CTF-008</t>
  </si>
  <si>
    <t>Buscar ISBN</t>
  </si>
  <si>
    <t>Ao inserir um ISBN existente na API externa, a função deve preencher a janela
 com os dados encontrados nos seus respectivos campos</t>
  </si>
  <si>
    <t>Estar logado como bibliotecário, além de que o livro deve
 estar cadastrado na API externa</t>
  </si>
  <si>
    <t>ISBN: 9786525913070</t>
  </si>
  <si>
    <t>1. Estando logado, vá para a página "Acervo"
2. Clique em "Cadastrar Novo Livro"
3. Insira um ISBN no seu campo e clique em "Buscar ISBN"</t>
  </si>
  <si>
    <t>1. A tela "Home" deve ser exibida
2. A tela "Acervo" deve ser exibida
3. O modal "Cadastrar Novo Livro" deve ser exibido
4. (partindo do pressuposto de que o ISBN é válido e esteja na API) Os dados encontrados pela API devem ser preenchidos, enquanto uma mensagem de confirmação é exibida.</t>
  </si>
  <si>
    <t>Os dados encontrados pela API externa foram 
preenchidos automaticamente</t>
  </si>
  <si>
    <t>CTF-009</t>
  </si>
  <si>
    <t>Reativar Livro</t>
  </si>
  <si>
    <t>Ao escolher um livro que estava desativado, ele deve ser reativado 
(inativo = false)</t>
  </si>
  <si>
    <t>Estar logado como bibliotecário, além de que o livro deve
se encontrar desativado no sistema</t>
  </si>
  <si>
    <t>Escolher o titulo de um livro dentro de um select
EX: "Memórias de Vanitas vol. 3 - Jun 
Mochizuki, Raphael Munhoz, 
Eliana Takara"</t>
  </si>
  <si>
    <t>1. Estando logado, vá para a página "Acervo"
2. Clique em "Reativar Livro"
3. Selecione o livro no select e clice em "Reativar Livro"
4. Confirme a reativação</t>
  </si>
  <si>
    <t>1. A tela "Home" deve ser exibida
2. A tela "Acervo" deve ser exibida
3. O modal "Reativar Livro" deve ser exibido
4. O modal de confirmação da reativação do livro deve ser exibido</t>
  </si>
  <si>
    <t>O livro deve ser reativado após selecioná-lo no modal 
"Reativar Livro" e confirmar a ação</t>
  </si>
  <si>
    <t>CTF-010</t>
  </si>
  <si>
    <t>Pesquisar no Filtro do acervo 
do Bibliotecário</t>
  </si>
  <si>
    <t>Ao inserir algumas informações de um livro, as obras catalogadas no acervo 
devem ser filtradas</t>
  </si>
  <si>
    <t>Estar logado como bibliotecário e ter livros no sistema</t>
  </si>
  <si>
    <t>Título: "As memórias de Vanitas vol. 3"
Autor: Jun Mochizuki, Raphael Munhoz, 
Eliana Takara
Ano de Publicação: 2023
Gênero: Quadrinhos e Mangá</t>
  </si>
  <si>
    <t>1. Estando logado, vá para a página "Acervo"
2. Preencha os campos desejados do filtro e aperte em "Pesquisar"</t>
  </si>
  <si>
    <t>1. A tela "Home" deve ser exibida
2. A tela "Acervo" deve ser exibida
3. Os livros filtrados devem ser exibidos</t>
  </si>
  <si>
    <t>Os livros devem ser filtrados de acordo com os dados 
inseridos no sistema de filtragem</t>
  </si>
  <si>
    <t>CTF-011</t>
  </si>
  <si>
    <t>Limpar Filtro do acervo 
do Bibliotecário</t>
  </si>
  <si>
    <t>Ao clicar no botão "Limpar Filtro" após inserir dados no sistema de filtragem, 
as informações devem ser limpadas</t>
  </si>
  <si>
    <t>Estar logado como bibliotecário e ter preenchido o filtro 
com alguma informação</t>
  </si>
  <si>
    <t>1. Estando logado, vá para a página "Acervo"
2. Preencha campos no filtro e aperte em "Limpar filtros"</t>
  </si>
  <si>
    <t>1. A tela "Home" deve ser exibida
2. A tela "Acervo" deve ser exibida
3. Os filtros devem ser limpados</t>
  </si>
  <si>
    <t>Os filtros devem ser limpados após clicar no botão da 
função</t>
  </si>
  <si>
    <t>CTF-012</t>
  </si>
  <si>
    <t>Criar Empréstimo</t>
  </si>
  <si>
    <t>Ao preencher as informações do frequentador e do empréstimo já com um livro
 selecionado, o sistema deve cadastrar um novo empréstimo</t>
  </si>
  <si>
    <t>Estar logado como bibliotecário, já ter selecionado um 
livro, ter um frequentador e ter um exemplar disponível 
no banco</t>
  </si>
  <si>
    <t>Livro: "As memórias de Vanitas vol. 3"
Nome do frequentador: Daniel Emily
Senha: 87654321
Prazo de Empréstimo: 15 dias</t>
  </si>
  <si>
    <t>1. Estando logado, vá para a página "Acervo"
2. Clique no livro que será emprestado
3. Clique no botão "Criar Empréstimo", preencha as informações requeridas pelo modal e clique em "Cadastrar"</t>
  </si>
  <si>
    <t>1. A tela "Home" deve ser exibida
2. A tela "Acervo" deve ser exibida
3. A página do livro específico deve ser exibida
4. O modal "Criar Empréstimo" deve ser exibido
5. A quantidade de cópias disponíveis deve diminuir</t>
  </si>
  <si>
    <t>O empréstimo deve ser criado após a inserção das 
informações requeridas no modal e a quantidade de 
cópias disponíveis da obra deve diminuir</t>
  </si>
  <si>
    <t>CTF-013</t>
  </si>
  <si>
    <t>Atualizar Livro</t>
  </si>
  <si>
    <t>Ao mudar alguma informação do livro, o sistema deve alterar essas 
informações no banco.</t>
  </si>
  <si>
    <t>Estar logado como bibliotecário, já ter selecionado um 
livro e cadastrado no banco.</t>
  </si>
  <si>
    <t xml:space="preserve">Localização: Estante7 Prateleira 35 (informação que será alterada)
</t>
  </si>
  <si>
    <t>1. Estando logado, vá para a página "Acervo"
2. Clique no livro que terá as informações mudadas
3. Clique no botão "Atualizar Livro"
4. Altere as informações desejadas e clique em "Salvar Alterações"</t>
  </si>
  <si>
    <t>1. A tela "Home" deve ser exibida
2. A tela "Acervo" deve ser exibida
3. A página do livro específico deve ser exibida
4. O modal "Atualizar Livro" deve ser exibido
5. As alterações devem ter aparecido nas informações do livro</t>
  </si>
  <si>
    <t>As informações alteradas do livro devem ser 
atualizadas no sistema</t>
  </si>
  <si>
    <t>CTF-014</t>
  </si>
  <si>
    <t>Cadastrar Nova Cópia</t>
  </si>
  <si>
    <t>Ao colocar a quantidade de cópias/exemplares do livro já selecionado, o 
sistema deve criar essa quantidade de cópias no banco</t>
  </si>
  <si>
    <t>Quantidade de cópias: 5</t>
  </si>
  <si>
    <t>1. Estando logado, vá para a página "Acervo"
2. Clique no livro que terá as cópias adicionadas
3. Clique no botão "Cadastrar Nova Cópia"
4. Coloque a quantidade desejada de exemplares e clique em "Cadastrar Cópias"</t>
  </si>
  <si>
    <t>1. A tela "Home" deve ser exibida
2. A tela "Acervo" deve ser exibida
3. A página do livro específico deve ser exibida
4. O modal "Cadastrar Nova Cópia" deve ser exibido
5. A quantidade de cópias totais deve aumentar</t>
  </si>
  <si>
    <t>A quantidade de cópias colocada deve ser criada 
no sistema</t>
  </si>
  <si>
    <t>CTF-015</t>
  </si>
  <si>
    <t>Desativar Exemplar</t>
  </si>
  <si>
    <t>Ao escolher o exemplar desejado e que não tenha empréstimos em 
andamento, o sistema deve desativá-lo</t>
  </si>
  <si>
    <t>Estar logado como bibliotecário e já ter selecionado um 
livro que possua cópias/exemplares que não estejam 
com empréstimos em andamento.</t>
  </si>
  <si>
    <t>Cópia #2 (ID: 123)</t>
  </si>
  <si>
    <t>1. Estando logado, vá para a página "Acervo"
2. Clique no livro que terá as cópias desativadas
3. Clique no botão "Gerenciar Exemplares"
4. Clique no botão "Desativar" da cópia que deseja desativar</t>
  </si>
  <si>
    <t>1. A tela "Home" deve ser exibida
2. A tela "Acervo" deve ser exibida
3. A página do livro específico deve ser exibida
4. O modal "Gerenciar Exemplares" deve ser exibido
5. A quantidade de cópias totais deve diminuir</t>
  </si>
  <si>
    <t>A cópia escolhida deve ser desativada (inativo: true) 
no sistema</t>
  </si>
  <si>
    <t>CTF-016</t>
  </si>
  <si>
    <t>Reativar Exemplar</t>
  </si>
  <si>
    <t>Ao escolher o exemplar desejado que esteja inativado, o sistema deve reativá-lo</t>
  </si>
  <si>
    <t>Estar logado como bibliotecário e já ter selecionado um 
livro que possua cópias/exemplares desativadas.</t>
  </si>
  <si>
    <t>1. Estando logado, vá para a página "Acervo"
2. Clique no livro que terá as cópias reativadas
3. Clique no botão "Gerenciar Exemplares"
4. Clique no botão "Reativar" da cópia que deseja reativar</t>
  </si>
  <si>
    <t>1. A tela "Home" deve ser exibida
2. A tela "Acervo" deve ser exibida
3. A página do livro específico deve ser exibida
4. O modal "Gerenciar Exemplares" deve ser exibido
5. A quantidade de cópias totais deve aumentar</t>
  </si>
  <si>
    <t>A cópia escolhida deve ser reativada (inativo: false) 
no sistema</t>
  </si>
  <si>
    <t>CTF-017</t>
  </si>
  <si>
    <t>Excluir Livro</t>
  </si>
  <si>
    <t>Ao escolher o livro desejado, o sistema deve desativa-lo 
("exclui-lo" - inativo = true) no banco</t>
  </si>
  <si>
    <t>Estar logado como bibliotecário e já ter selecionado um 
livro que não tenha exemplares com empréstimos em 
andamento.</t>
  </si>
  <si>
    <t>Livro: "As memórias de Vanitas vol. 3"</t>
  </si>
  <si>
    <t>1. Estando logado, vá para a página "Acervo"
2. Clique no livro que terá as cópias reativadas
3. Clique no botão "Excluir Livro"
4. Clique no botão "Confirmar exclusão"</t>
  </si>
  <si>
    <t>1. A tela "Home" deve ser exibida
2. A tela "Acervo" deve ser exibida
3. A página do livro específico deve ser exibida
4. O modal "Excluir Livro" deve ser exibido</t>
  </si>
  <si>
    <t>O livro escolhido deve ser excluido/desativado no 
sistema</t>
  </si>
  <si>
    <t>CTF-018</t>
  </si>
  <si>
    <t>Pesquisar no Filtro do 
Empréstimos 
do Bibliotecário</t>
  </si>
  <si>
    <t>Ao inserir algumas informações de um empréstimo, os empréstimos na tela de
"Empréstimos" devem ser filtradas</t>
  </si>
  <si>
    <t>Estar logado como bibliotecário e ter empréstimos 
no sistema</t>
  </si>
  <si>
    <t>1. Estando logado, vá para a página "Empréstimos"
2. Preencha os campos desejados do filtro e aperte em "Pesquisar"</t>
  </si>
  <si>
    <t>1. A tela "Home" deve ser exibida
2. A tela "Empréstimos" deve ser exibida
3. Os empréstimos filtrados devem ser exibidos</t>
  </si>
  <si>
    <t>Os emprestimos devem ser filtrados de acordo com os 
dados inseridos no sistema de filtragem</t>
  </si>
  <si>
    <t>CTF-019</t>
  </si>
  <si>
    <t>Limpar Filtro do Empréstimos
do Bibliotecário</t>
  </si>
  <si>
    <t>1. Estando logado, vá para a página "Empréstimos"
2. Preencha campos no filtro e aperte em "Limpar filtros"</t>
  </si>
  <si>
    <t>1. A tela "Home" deve ser exibida
2. A tela "Empréstimos" deve ser exibida
3. Os filtros devem ser limpados</t>
  </si>
  <si>
    <t>CTF-020</t>
  </si>
  <si>
    <t>Concluir devolução do livro</t>
  </si>
  <si>
    <t>Ao clicar no botão "Concluir devolução do livro" na tela de empréstimos, o 
empréstimo deve ser finalizado e inativado</t>
  </si>
  <si>
    <t>Estar logado como bibliotecário e ter um empréstimo em
 andamento</t>
  </si>
  <si>
    <t>Livro: "As memórias de Vanitas vol. 3"
Autor: Jun Mochizuki, Raphael Munhoz, 
Eliana Takara
Usuário: Daniel Emily
Data de devolução: 30/10/2026
Data do empréstimo: 15/10/206</t>
  </si>
  <si>
    <t xml:space="preserve">1. Estando logado, vá para a página "Empréstimos"
2. Localize o empréstimo que deve ser concluído e aperte no botão 
"Concluir devolução do livro"
3. Aperte no botão "Entendi" do modal de confirmação </t>
  </si>
  <si>
    <t>1. A tela "Home" deve ser exibida
2. A tela "Empréstimos" deve ser exibida
3. O modal de devolução concluída deve ser exibido
4. O empréstimo deve ser concluído</t>
  </si>
  <si>
    <t>O empréstimo deve ser concluído após clicar no botão 
da função</t>
  </si>
  <si>
    <t>CTF-021</t>
  </si>
  <si>
    <t>Cancelar empréstimo</t>
  </si>
  <si>
    <t>Ao clicar no botão "Cancelar empréstimo" na tela de empréstimos, o 
empréstimo deve ser cancelado e inativado</t>
  </si>
  <si>
    <t xml:space="preserve">1. Estando logado, vá para a página "Empréstimos"
2. Localize o empréstimo que deve ser cancelado e aperte no botão 
"Cancelar empréstimo"
3. Aperte no botão "Confirmar cancelamento" do modal de verificação do
cancelamento
4. Aperte no botão "Entendi" do modal de confirmação </t>
  </si>
  <si>
    <t>1. A tela "Home" deve ser exibida
2. A tela "Empréstimos" deve ser exibida
3. O modal de verificação do cancelamento deve ser exibido
4. O modal de confirmação do cancelamento deve ser exibido
5. O empréstimo deve ser cancelado</t>
  </si>
  <si>
    <t>O empréstimo deve ser cancelado (inativo: true) após 
clicar no botão da função</t>
  </si>
  <si>
    <t>CTF-022</t>
  </si>
  <si>
    <t>Cadastrar novo frequentador</t>
  </si>
  <si>
    <t>Ao clicar no botão "Cadastrar novo frequentador" na tela de usuários, um novo
usuário deve ser registrado no sistema</t>
  </si>
  <si>
    <t>Estar logado como bibliotecário</t>
  </si>
  <si>
    <t>Nome completo: Raphael Miles
Senha: 98765432
DDD: 19
Número: 989173757</t>
  </si>
  <si>
    <t>1. Estando logado, vá para a página "Usuários"
2. Localize e aperte no botão "Cadastrar novo frequentador"
3. Preencha as informações requeridas pelo modal para cadastrar o usuário e clique em "Cadastrar"</t>
  </si>
  <si>
    <t>1. A tela "Home" deve ser exibida
2. A tela "Usuários" deve ser exibida
3. O modal "Cadastrar frequentador" deve ser exibido
4. O usuário deve ser catalogado no sistema</t>
  </si>
  <si>
    <t>O usuário deve ser registrado no sistema após 
a inserção dos seus dados no modal de cadastramento</t>
  </si>
  <si>
    <t>CTF-023</t>
  </si>
  <si>
    <t>Reativar frequentador</t>
  </si>
  <si>
    <t>Ao clicar no botão "Reativar frequentador" na tela de usuários e selecionar um 
usuário deletado no sistema, este mesmo usuário deve ser reativado</t>
  </si>
  <si>
    <t>Estar logado como bibliotecário e ter um usuário 
desativado (deletado)</t>
  </si>
  <si>
    <t>Escolher um frequentador dentro de um select
EX: "Raphael Miles - ID 32"</t>
  </si>
  <si>
    <t>1. Estando logado, vá para a página "Usuários"
2. Localize e aperte no botão "Reativar frequentador"
3. Encontre e selecione o frequentador desativado e aperte em "Reativar conta"</t>
  </si>
  <si>
    <t>1. A tela "Home" deve ser exibida
2. A tela "Usuários" deve ser exibida
3. O modal "Reativar frequentador" deve ser exibido
4. O usuário deve ser reativado no sistema</t>
  </si>
  <si>
    <t>O usuário deve ser reativado no sistema após 
selecioná-lo no modal da função de "Reativar 
frequentador"</t>
  </si>
  <si>
    <t>CTF-024</t>
  </si>
  <si>
    <t>Detalhes frequentador</t>
  </si>
  <si>
    <t>Ao clicar no botão "Detalhes" na tela de usuários, todas as informações 
importantes do mesmo devem ser exibidas</t>
  </si>
  <si>
    <t>Estar logado como bibliotecário e ter um usuário 
ativo no sistema</t>
  </si>
  <si>
    <t>Nome completo: Raphael Miles
Identificação: 32
DDD: 19
Número: 989173757
Situação da conta: Ativo
Situação de empréstimo: Regular</t>
  </si>
  <si>
    <t>1. Estando logado, vá para a página "Usuários"
2. Localize e aperte no botão "Detalhes" na linha do frequentador que 
desejar</t>
  </si>
  <si>
    <t>1. A tela "Home" deve ser exibida
2. A tela "Usuários" deve ser exibida
3. O modal "Detalhes do frequentador" deve ser exibido com todas as informações relevantes do frequentador</t>
  </si>
  <si>
    <t>As informações do usuário devem ser visualizadas após
apertar no botão "Detalhes" em um modal</t>
  </si>
  <si>
    <t>CTF-025</t>
  </si>
  <si>
    <t>Atualizar frequentador</t>
  </si>
  <si>
    <t>Ao clicar no botão "Atualizar" na tela de usuários, todas as informações 
importantes e alteráveis desse usuário no sistema devem ser exibidas</t>
  </si>
  <si>
    <t>Número: 739173757 (informação que foi 
alterada)</t>
  </si>
  <si>
    <t>1. Estando logado, vá para a página "Usuários"
2. Localize e aperte no botão "Atualizar" na linha do frequentador que 
desejar</t>
  </si>
  <si>
    <t>1. A tela "Home" deve ser exibida
2. A tela "Usuários" deve ser exibida
3. O modal "Atualizar frequentador" deve ser exibido com todas as informações relevantes e alteráveis do frequentador</t>
  </si>
  <si>
    <t>As informações não sensíveis do usuário devem ser 
visualizadas e ter a opção de serem altera após clicar 
no botão "Atualizar" em um modal</t>
  </si>
  <si>
    <t>CTF-026</t>
  </si>
  <si>
    <t>Desativar frequentador</t>
  </si>
  <si>
    <t>Ao clicar no botão "Desativar" na tela de usuários, o frequentador têm a sua 
conta desativada (deletada)</t>
  </si>
  <si>
    <t>Nome: Raphael Miles</t>
  </si>
  <si>
    <t>1. Estando logado, vá para a página "Usuários"
2. Localize e aperte no botão "Desativar" na linha do frequentador que 
desejar
3. Aperte no botão "Confirmar desativação" do modal de confirmação</t>
  </si>
  <si>
    <t>1. A tela "Home" deve ser exibida
2. A tela "Usuários" deve ser exibida
3. O modal "Desativar frequentador" deve ser exibido com informações não sensíveis do usuário
4. O usuário deve ser desativado no sistema</t>
  </si>
  <si>
    <t>As informações não sensíveis do usuário devem ser 
visualizadas antes da conta ser desativada ao clicar em
"Confirmar desativação"</t>
  </si>
  <si>
    <t>CTF-027</t>
  </si>
  <si>
    <t>Cadastrar nova multa</t>
  </si>
  <si>
    <t>Ao clicar no botão "Cadastrar nova multa" na tela de multas, o bibliotecário 
cadastra uma multa no sistema em nome de um frequentador</t>
  </si>
  <si>
    <t>Estar logado como bibliotecário e ter um usuário 
que se encaixa em uma situação de multa</t>
  </si>
  <si>
    <t>Frequentador: Enzo Barbino
Tipo de multa: EXTRAVIO (nesse caso, 30 dias
de multa)
Todas as datas são calculadas automaticamente</t>
  </si>
  <si>
    <t>1. Estando logado, vá para a página "Multas"
2. Localize e aperte no botão "Cadastrar nova multa" e selecione as informações necessárias para a sua catalogação
3. Aperte no botão "Cadastrar multa" no modal</t>
  </si>
  <si>
    <t>1. A tela "Home" deve ser exibida
2. A tela "Multas" deve ser exibida
3. O modal "Cadastrar nova multa" deve ser exibido
4. A multa deve aparecer em multas cadastradas</t>
  </si>
  <si>
    <t>A multa deve ser registrada no sistema após 
a inserção dos dados no modal de "Cadastrar nova 
multa"</t>
  </si>
  <si>
    <t>CTF-028</t>
  </si>
  <si>
    <t>Pesquisar no Filtro de Multas
do Bibliotecário</t>
  </si>
  <si>
    <t>Ao inserir algumas informações de alguma multa, as multas na tela de
"Multas" devem ser filtradas</t>
  </si>
  <si>
    <t>Estar logado como bibliotecário e ter multas registradas
no sistema</t>
  </si>
  <si>
    <t>Nome do frequentador: Enzo Barbino
Data: (de início ou término)
Tipo de multa: EXTRAVIO</t>
  </si>
  <si>
    <t>1. Estando logado, vá para a página "Multas"
2. Preencha os campos desejados do filtro e aperte em "Pesquisar"</t>
  </si>
  <si>
    <t>1. A tela "Home" deve ser exibida
2. A tela "Multas" deve ser exibida
3. As multas filtradas devem ser exibidas</t>
  </si>
  <si>
    <t>As multas devem ser filtradas de acordo com os 
dados inseridos no sistema de filtragem</t>
  </si>
  <si>
    <t>CTF-029</t>
  </si>
  <si>
    <t>Limpar Filtro da Multas
do Bibliotecário</t>
  </si>
  <si>
    <t>1. Estando logado, vá para a página "Multas"
2. Preencha campos no filtro e aperte em "Limpar filtros"</t>
  </si>
  <si>
    <t>1. A tela "Home" deve ser exibida
2. A tela "Multas" deve ser exibida
3. Os filtros devem ser limpados</t>
  </si>
  <si>
    <t>CTF-030</t>
  </si>
  <si>
    <t>Cancelar multa</t>
  </si>
  <si>
    <t>Ao clicar no botão "Cancelar multa", a multa é cancela</t>
  </si>
  <si>
    <t>Estar logado como bibliotecário e ter uma multa ativa</t>
  </si>
  <si>
    <t>Nome do frequentador: Enzo Barbino
Tipo de multa: EXTRAVIO
Status: Pendente</t>
  </si>
  <si>
    <t>1. Estando logado, vá para a página "Multas"
2. Localize e clique no botão "Cancelar multa"
3. Clique no botão "Confirmar cancelamento" no modal de cancelar multa</t>
  </si>
  <si>
    <t>1. A tela "Home" deve ser exibida
2. A tela "Multas" deve ser exibida
3. O modal "Confirmar cancelamento" deve ser exibido</t>
  </si>
  <si>
    <t>A multa deve ser cancelada após clicar no botão da 
função e do modal</t>
  </si>
  <si>
    <t>CTF-031</t>
  </si>
  <si>
    <t>Sair da conta Bibliotecário</t>
  </si>
  <si>
    <t>CTF-032</t>
  </si>
  <si>
    <t>Atualizar conta Bibliotecário</t>
  </si>
  <si>
    <t>CTF-033</t>
  </si>
  <si>
    <t>Excluir conta Bibliotecário</t>
  </si>
  <si>
    <t>CTF-034</t>
  </si>
  <si>
    <t>CTF-035</t>
  </si>
  <si>
    <t>CTF-036</t>
  </si>
  <si>
    <t>CTF-037</t>
  </si>
  <si>
    <t>CTF-038</t>
  </si>
  <si>
    <t>CTF-039</t>
  </si>
  <si>
    <t>CTF-040</t>
  </si>
  <si>
    <t>CTF-041</t>
  </si>
  <si>
    <t>CTF-042</t>
  </si>
  <si>
    <t>CTF-043</t>
  </si>
  <si>
    <t>CTF-003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</si>
</sst>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AE2D5"/>
        <bgColor rgb="FFFAE2D5"/>
      </patternFill>
    </fill>
  </fills>
  <borders count="4">
    <border/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2" fillId="0" fontId="2" numFmtId="0" xfId="0" applyAlignment="1" applyBorder="1" applyFont="1">
      <alignment horizontal="center"/>
    </xf>
    <xf borderId="3" fillId="0" fontId="2" numFmtId="0" xfId="0" applyAlignment="1" applyBorder="1" applyFont="1">
      <alignment vertical="top"/>
    </xf>
    <xf borderId="3" fillId="0" fontId="2" numFmtId="0" xfId="0" applyAlignment="1" applyBorder="1" applyFont="1">
      <alignment shrinkToFit="0" vertical="top" wrapText="1"/>
    </xf>
    <xf borderId="3" fillId="0" fontId="2" numFmtId="14" xfId="0" applyAlignment="1" applyBorder="1" applyFont="1" applyNumberFormat="1">
      <alignment vertical="top"/>
    </xf>
    <xf borderId="3" fillId="0" fontId="3" numFmtId="0" xfId="0" applyAlignment="1" applyBorder="1" applyFont="1">
      <alignment readingOrder="0" vertical="top"/>
    </xf>
    <xf borderId="3" fillId="0" fontId="3" numFmtId="0" xfId="0" applyAlignment="1" applyBorder="1" applyFont="1">
      <alignment readingOrder="0" shrinkToFit="0" vertical="top" wrapText="1"/>
    </xf>
    <xf borderId="3" fillId="0" fontId="3" numFmtId="14" xfId="0" applyAlignment="1" applyBorder="1" applyFont="1" applyNumberFormat="1">
      <alignment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88"/>
    <col customWidth="1" min="2" max="2" width="16.0"/>
    <col customWidth="1" min="3" max="3" width="18.63"/>
    <col customWidth="1" min="4" max="26" width="8.63"/>
  </cols>
  <sheetData>
    <row r="1">
      <c r="A1" s="1" t="s">
        <v>0</v>
      </c>
      <c r="B1" s="2" t="s">
        <v>1</v>
      </c>
      <c r="C1" s="2" t="s">
        <v>2</v>
      </c>
    </row>
    <row r="2">
      <c r="A2" s="3" t="s">
        <v>3</v>
      </c>
      <c r="B2" s="4">
        <f>COUNTIFS(UNITARIOS!$E:$E,"=NÃO")</f>
        <v>0</v>
      </c>
      <c r="C2" s="4">
        <f>COUNTIFS(FUNCIONAIS!$D:$D,"=NÃO")</f>
        <v>0</v>
      </c>
    </row>
    <row r="3">
      <c r="A3" s="3" t="s">
        <v>4</v>
      </c>
      <c r="B3" s="4">
        <f>COUNTIFS(UNITARIOS!$E:$E,"=SIM")</f>
        <v>1</v>
      </c>
      <c r="C3" s="4">
        <f>COUNTIFS(FUNCIONAIS!$D:$D,"=SIM")</f>
        <v>43</v>
      </c>
    </row>
    <row r="4">
      <c r="A4" s="3" t="s">
        <v>5</v>
      </c>
      <c r="B4" s="4">
        <f>COUNTIFS(UNITARIOS!M:M,"=PASSOU")</f>
        <v>1</v>
      </c>
      <c r="C4" s="4">
        <f>COUNTIFS(FUNCIONAIS!$L:$L,"=PASSOU")</f>
        <v>43</v>
      </c>
    </row>
    <row r="5">
      <c r="A5" s="3" t="s">
        <v>6</v>
      </c>
      <c r="B5" s="4">
        <f>COUNTIFS(UNITARIOS!M:M,"=NAO PASSOU")</f>
        <v>0</v>
      </c>
      <c r="C5" s="4">
        <f>COUNTIFS(FUNCIONAIS!$L:$L,"=NÃO")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15.38"/>
    <col customWidth="1" min="3" max="3" width="13.25"/>
    <col customWidth="1" min="4" max="4" width="39.88"/>
    <col customWidth="1" min="5" max="5" width="5.88"/>
    <col customWidth="1" min="6" max="6" width="26.88"/>
    <col customWidth="1" min="7" max="7" width="28.63"/>
    <col customWidth="1" min="8" max="8" width="36.13"/>
    <col customWidth="1" min="9" max="9" width="60.75"/>
    <col customWidth="1" min="10" max="10" width="43.13"/>
    <col customWidth="1" min="11" max="11" width="10.38"/>
    <col customWidth="1" min="12" max="12" width="36.38"/>
    <col customWidth="1" min="13" max="13" width="20.88"/>
    <col customWidth="1" min="14" max="26" width="8.63"/>
  </cols>
  <sheetData>
    <row r="1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</row>
    <row r="2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6" t="s">
        <v>27</v>
      </c>
      <c r="I2" s="5" t="s">
        <v>28</v>
      </c>
      <c r="J2" s="5"/>
      <c r="K2" s="7">
        <v>45971.0</v>
      </c>
      <c r="L2" s="5" t="s">
        <v>29</v>
      </c>
      <c r="M2" s="5" t="s">
        <v>30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26.0"/>
    <col customWidth="1" min="3" max="3" width="66.25"/>
    <col customWidth="1" min="4" max="4" width="7.75"/>
    <col customWidth="1" min="5" max="5" width="47.75"/>
    <col customWidth="1" min="6" max="6" width="40.0"/>
    <col customWidth="1" min="7" max="7" width="60.75"/>
    <col customWidth="1" min="8" max="8" width="74.0"/>
    <col customWidth="1" min="9" max="9" width="46.88"/>
    <col customWidth="1" min="10" max="10" width="14.75"/>
    <col customWidth="1" min="11" max="11" width="32.25"/>
    <col customWidth="1" min="12" max="12" width="20.63"/>
    <col customWidth="1" min="13" max="26" width="8.63"/>
  </cols>
  <sheetData>
    <row r="1">
      <c r="A1" s="1" t="s">
        <v>7</v>
      </c>
      <c r="B1" s="1" t="s">
        <v>31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32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</row>
    <row r="2" ht="42.75" customHeight="1">
      <c r="A2" s="8" t="s">
        <v>33</v>
      </c>
      <c r="B2" s="8" t="s">
        <v>34</v>
      </c>
      <c r="C2" s="8" t="s">
        <v>35</v>
      </c>
      <c r="D2" s="8" t="s">
        <v>24</v>
      </c>
      <c r="E2" s="8" t="s">
        <v>36</v>
      </c>
      <c r="F2" s="9" t="s">
        <v>37</v>
      </c>
      <c r="G2" s="9" t="s">
        <v>38</v>
      </c>
      <c r="H2" s="9" t="s">
        <v>39</v>
      </c>
      <c r="I2" s="8" t="s">
        <v>40</v>
      </c>
      <c r="J2" s="10">
        <v>45945.0</v>
      </c>
      <c r="K2" s="8" t="s">
        <v>41</v>
      </c>
      <c r="L2" s="5" t="s">
        <v>30</v>
      </c>
    </row>
    <row r="3" ht="42.75" customHeight="1">
      <c r="A3" s="8" t="s">
        <v>42</v>
      </c>
      <c r="B3" s="8" t="s">
        <v>43</v>
      </c>
      <c r="C3" s="8" t="s">
        <v>44</v>
      </c>
      <c r="D3" s="8" t="s">
        <v>24</v>
      </c>
      <c r="E3" s="8" t="s">
        <v>45</v>
      </c>
      <c r="F3" s="9" t="s">
        <v>46</v>
      </c>
      <c r="G3" s="9" t="s">
        <v>47</v>
      </c>
      <c r="H3" s="9" t="s">
        <v>48</v>
      </c>
      <c r="I3" s="8" t="s">
        <v>49</v>
      </c>
      <c r="J3" s="10">
        <v>45945.0</v>
      </c>
      <c r="K3" s="8" t="s">
        <v>41</v>
      </c>
      <c r="L3" s="5" t="s">
        <v>30</v>
      </c>
    </row>
    <row r="4" ht="73.5" customHeight="1">
      <c r="A4" s="8" t="s">
        <v>50</v>
      </c>
      <c r="B4" s="8" t="s">
        <v>51</v>
      </c>
      <c r="C4" s="8" t="s">
        <v>52</v>
      </c>
      <c r="D4" s="8" t="s">
        <v>24</v>
      </c>
      <c r="E4" s="8" t="s">
        <v>36</v>
      </c>
      <c r="F4" s="9" t="s">
        <v>53</v>
      </c>
      <c r="G4" s="9" t="s">
        <v>54</v>
      </c>
      <c r="H4" s="9" t="s">
        <v>55</v>
      </c>
      <c r="I4" s="8" t="s">
        <v>56</v>
      </c>
      <c r="J4" s="10">
        <v>45945.0</v>
      </c>
      <c r="K4" s="8" t="s">
        <v>41</v>
      </c>
      <c r="L4" s="5" t="s">
        <v>30</v>
      </c>
    </row>
    <row r="5" ht="78.0" customHeight="1">
      <c r="A5" s="8" t="s">
        <v>57</v>
      </c>
      <c r="B5" s="8" t="s">
        <v>58</v>
      </c>
      <c r="C5" s="8" t="s">
        <v>52</v>
      </c>
      <c r="D5" s="8" t="s">
        <v>24</v>
      </c>
      <c r="E5" s="8" t="s">
        <v>45</v>
      </c>
      <c r="F5" s="9" t="s">
        <v>59</v>
      </c>
      <c r="G5" s="9" t="s">
        <v>60</v>
      </c>
      <c r="H5" s="9" t="s">
        <v>61</v>
      </c>
      <c r="I5" s="8" t="s">
        <v>62</v>
      </c>
      <c r="J5" s="10">
        <v>45945.0</v>
      </c>
      <c r="K5" s="8" t="s">
        <v>41</v>
      </c>
      <c r="L5" s="5" t="s">
        <v>30</v>
      </c>
    </row>
    <row r="6" ht="93.0" customHeight="1">
      <c r="A6" s="8" t="s">
        <v>63</v>
      </c>
      <c r="B6" s="8" t="s">
        <v>64</v>
      </c>
      <c r="C6" s="8" t="s">
        <v>65</v>
      </c>
      <c r="D6" s="8" t="s">
        <v>24</v>
      </c>
      <c r="E6" s="8" t="s">
        <v>66</v>
      </c>
      <c r="F6" s="9" t="s">
        <v>67</v>
      </c>
      <c r="G6" s="9" t="s">
        <v>68</v>
      </c>
      <c r="H6" s="9" t="s">
        <v>69</v>
      </c>
      <c r="I6" s="8" t="s">
        <v>70</v>
      </c>
      <c r="J6" s="10">
        <v>45945.0</v>
      </c>
      <c r="K6" s="8" t="s">
        <v>41</v>
      </c>
      <c r="L6" s="5" t="s">
        <v>30</v>
      </c>
    </row>
    <row r="7" ht="168.0" customHeight="1">
      <c r="A7" s="8" t="s">
        <v>71</v>
      </c>
      <c r="B7" s="8" t="s">
        <v>72</v>
      </c>
      <c r="C7" s="8" t="s">
        <v>73</v>
      </c>
      <c r="D7" s="8" t="s">
        <v>24</v>
      </c>
      <c r="E7" s="8" t="s">
        <v>74</v>
      </c>
      <c r="F7" s="9" t="s">
        <v>75</v>
      </c>
      <c r="G7" s="9" t="s">
        <v>76</v>
      </c>
      <c r="H7" s="9" t="s">
        <v>77</v>
      </c>
      <c r="I7" s="8" t="s">
        <v>78</v>
      </c>
      <c r="J7" s="10">
        <v>45945.0</v>
      </c>
      <c r="K7" s="8" t="s">
        <v>41</v>
      </c>
      <c r="L7" s="5" t="s">
        <v>30</v>
      </c>
    </row>
    <row r="8" ht="103.5" customHeight="1">
      <c r="A8" s="8" t="s">
        <v>79</v>
      </c>
      <c r="B8" s="8" t="s">
        <v>80</v>
      </c>
      <c r="C8" s="8" t="s">
        <v>81</v>
      </c>
      <c r="D8" s="8" t="s">
        <v>24</v>
      </c>
      <c r="E8" s="8" t="s">
        <v>82</v>
      </c>
      <c r="F8" s="9" t="s">
        <v>83</v>
      </c>
      <c r="G8" s="9" t="s">
        <v>84</v>
      </c>
      <c r="H8" s="9" t="s">
        <v>85</v>
      </c>
      <c r="I8" s="8" t="s">
        <v>86</v>
      </c>
      <c r="J8" s="10">
        <v>45945.0</v>
      </c>
      <c r="K8" s="8" t="s">
        <v>41</v>
      </c>
      <c r="L8" s="5" t="s">
        <v>30</v>
      </c>
    </row>
    <row r="9" ht="103.5" customHeight="1">
      <c r="A9" s="8" t="s">
        <v>87</v>
      </c>
      <c r="B9" s="8" t="s">
        <v>88</v>
      </c>
      <c r="C9" s="8" t="s">
        <v>89</v>
      </c>
      <c r="D9" s="8" t="s">
        <v>24</v>
      </c>
      <c r="E9" s="8" t="s">
        <v>90</v>
      </c>
      <c r="F9" s="9" t="s">
        <v>91</v>
      </c>
      <c r="G9" s="9" t="s">
        <v>92</v>
      </c>
      <c r="H9" s="9" t="s">
        <v>93</v>
      </c>
      <c r="I9" s="8" t="s">
        <v>94</v>
      </c>
      <c r="J9" s="10">
        <v>45945.0</v>
      </c>
      <c r="K9" s="8" t="s">
        <v>41</v>
      </c>
      <c r="L9" s="5" t="s">
        <v>30</v>
      </c>
    </row>
    <row r="10" ht="72.75" customHeight="1">
      <c r="A10" s="8" t="s">
        <v>95</v>
      </c>
      <c r="B10" s="8" t="s">
        <v>96</v>
      </c>
      <c r="C10" s="8" t="s">
        <v>97</v>
      </c>
      <c r="D10" s="8" t="s">
        <v>24</v>
      </c>
      <c r="E10" s="8" t="s">
        <v>98</v>
      </c>
      <c r="F10" s="9" t="s">
        <v>99</v>
      </c>
      <c r="G10" s="9" t="s">
        <v>100</v>
      </c>
      <c r="H10" s="9" t="s">
        <v>101</v>
      </c>
      <c r="I10" s="8" t="s">
        <v>102</v>
      </c>
      <c r="J10" s="10">
        <v>45945.0</v>
      </c>
      <c r="K10" s="8" t="s">
        <v>41</v>
      </c>
      <c r="L10" s="5" t="s">
        <v>30</v>
      </c>
    </row>
    <row r="11" ht="77.25" customHeight="1">
      <c r="A11" s="8" t="s">
        <v>103</v>
      </c>
      <c r="B11" s="8" t="s">
        <v>104</v>
      </c>
      <c r="C11" s="8" t="s">
        <v>105</v>
      </c>
      <c r="D11" s="8" t="s">
        <v>24</v>
      </c>
      <c r="E11" s="8" t="s">
        <v>106</v>
      </c>
      <c r="F11" s="9" t="s">
        <v>99</v>
      </c>
      <c r="G11" s="9" t="s">
        <v>107</v>
      </c>
      <c r="H11" s="9" t="s">
        <v>108</v>
      </c>
      <c r="I11" s="8" t="s">
        <v>109</v>
      </c>
      <c r="J11" s="10">
        <v>45945.0</v>
      </c>
      <c r="K11" s="8" t="s">
        <v>41</v>
      </c>
      <c r="L11" s="5" t="s">
        <v>30</v>
      </c>
    </row>
    <row r="12" ht="92.25" customHeight="1">
      <c r="A12" s="8" t="s">
        <v>110</v>
      </c>
      <c r="B12" s="8" t="s">
        <v>111</v>
      </c>
      <c r="C12" s="8" t="s">
        <v>112</v>
      </c>
      <c r="D12" s="8" t="s">
        <v>24</v>
      </c>
      <c r="E12" s="8" t="s">
        <v>113</v>
      </c>
      <c r="F12" s="9" t="s">
        <v>114</v>
      </c>
      <c r="G12" s="9" t="s">
        <v>115</v>
      </c>
      <c r="H12" s="9" t="s">
        <v>116</v>
      </c>
      <c r="I12" s="8" t="s">
        <v>117</v>
      </c>
      <c r="J12" s="10">
        <v>45945.0</v>
      </c>
      <c r="K12" s="8" t="s">
        <v>41</v>
      </c>
      <c r="L12" s="5" t="s">
        <v>30</v>
      </c>
    </row>
    <row r="13" ht="109.5" customHeight="1">
      <c r="A13" s="8" t="s">
        <v>118</v>
      </c>
      <c r="B13" s="8" t="s">
        <v>119</v>
      </c>
      <c r="C13" s="8" t="s">
        <v>120</v>
      </c>
      <c r="D13" s="8" t="s">
        <v>24</v>
      </c>
      <c r="E13" s="8" t="s">
        <v>121</v>
      </c>
      <c r="F13" s="9" t="s">
        <v>122</v>
      </c>
      <c r="G13" s="9" t="s">
        <v>123</v>
      </c>
      <c r="H13" s="9" t="s">
        <v>124</v>
      </c>
      <c r="I13" s="8" t="s">
        <v>125</v>
      </c>
      <c r="J13" s="10">
        <v>45945.0</v>
      </c>
      <c r="K13" s="8" t="s">
        <v>41</v>
      </c>
      <c r="L13" s="5" t="s">
        <v>30</v>
      </c>
    </row>
    <row r="14" ht="82.5" customHeight="1">
      <c r="A14" s="8" t="s">
        <v>126</v>
      </c>
      <c r="B14" s="8" t="s">
        <v>127</v>
      </c>
      <c r="C14" s="8" t="s">
        <v>128</v>
      </c>
      <c r="D14" s="8" t="s">
        <v>24</v>
      </c>
      <c r="E14" s="8" t="s">
        <v>121</v>
      </c>
      <c r="F14" s="9" t="s">
        <v>129</v>
      </c>
      <c r="G14" s="9" t="s">
        <v>130</v>
      </c>
      <c r="H14" s="9" t="s">
        <v>131</v>
      </c>
      <c r="I14" s="8" t="s">
        <v>132</v>
      </c>
      <c r="J14" s="10">
        <v>45945.0</v>
      </c>
      <c r="K14" s="8" t="s">
        <v>41</v>
      </c>
      <c r="L14" s="5" t="s">
        <v>30</v>
      </c>
    </row>
    <row r="15" ht="84.75" customHeight="1">
      <c r="A15" s="8" t="s">
        <v>133</v>
      </c>
      <c r="B15" s="8" t="s">
        <v>134</v>
      </c>
      <c r="C15" s="8" t="s">
        <v>135</v>
      </c>
      <c r="D15" s="8" t="s">
        <v>24</v>
      </c>
      <c r="E15" s="8" t="s">
        <v>136</v>
      </c>
      <c r="F15" s="9" t="s">
        <v>137</v>
      </c>
      <c r="G15" s="9" t="s">
        <v>138</v>
      </c>
      <c r="H15" s="9" t="s">
        <v>139</v>
      </c>
      <c r="I15" s="8" t="s">
        <v>140</v>
      </c>
      <c r="J15" s="10">
        <v>45945.0</v>
      </c>
      <c r="K15" s="8" t="s">
        <v>41</v>
      </c>
      <c r="L15" s="5" t="s">
        <v>30</v>
      </c>
    </row>
    <row r="16" ht="70.5" customHeight="1">
      <c r="A16" s="8" t="s">
        <v>141</v>
      </c>
      <c r="B16" s="8" t="s">
        <v>142</v>
      </c>
      <c r="C16" s="8" t="s">
        <v>143</v>
      </c>
      <c r="D16" s="8" t="s">
        <v>24</v>
      </c>
      <c r="E16" s="8" t="s">
        <v>144</v>
      </c>
      <c r="F16" s="9" t="s">
        <v>137</v>
      </c>
      <c r="G16" s="9" t="s">
        <v>145</v>
      </c>
      <c r="H16" s="9" t="s">
        <v>146</v>
      </c>
      <c r="I16" s="8" t="s">
        <v>147</v>
      </c>
      <c r="J16" s="10">
        <v>45945.0</v>
      </c>
      <c r="K16" s="8" t="s">
        <v>41</v>
      </c>
      <c r="L16" s="5" t="s">
        <v>30</v>
      </c>
    </row>
    <row r="17" ht="97.5" customHeight="1">
      <c r="A17" s="8" t="s">
        <v>148</v>
      </c>
      <c r="B17" s="8" t="s">
        <v>149</v>
      </c>
      <c r="C17" s="8" t="s">
        <v>150</v>
      </c>
      <c r="D17" s="8" t="s">
        <v>24</v>
      </c>
      <c r="E17" s="8" t="s">
        <v>151</v>
      </c>
      <c r="F17" s="9" t="s">
        <v>152</v>
      </c>
      <c r="G17" s="9" t="s">
        <v>153</v>
      </c>
      <c r="H17" s="9" t="s">
        <v>154</v>
      </c>
      <c r="I17" s="8" t="s">
        <v>155</v>
      </c>
      <c r="J17" s="10">
        <v>45945.0</v>
      </c>
      <c r="K17" s="8" t="s">
        <v>41</v>
      </c>
      <c r="L17" s="5" t="s">
        <v>30</v>
      </c>
    </row>
    <row r="18" ht="67.5" customHeight="1">
      <c r="A18" s="8" t="s">
        <v>156</v>
      </c>
      <c r="B18" s="8" t="s">
        <v>157</v>
      </c>
      <c r="C18" s="8" t="s">
        <v>158</v>
      </c>
      <c r="D18" s="8" t="s">
        <v>24</v>
      </c>
      <c r="E18" s="8" t="s">
        <v>159</v>
      </c>
      <c r="F18" s="9" t="s">
        <v>152</v>
      </c>
      <c r="G18" s="9" t="s">
        <v>160</v>
      </c>
      <c r="H18" s="9" t="s">
        <v>161</v>
      </c>
      <c r="I18" s="8" t="s">
        <v>162</v>
      </c>
      <c r="J18" s="10">
        <v>45945.0</v>
      </c>
      <c r="K18" s="8" t="s">
        <v>41</v>
      </c>
      <c r="L18" s="5" t="s">
        <v>30</v>
      </c>
    </row>
    <row r="19" ht="59.25" customHeight="1">
      <c r="A19" s="8" t="s">
        <v>163</v>
      </c>
      <c r="B19" s="8" t="s">
        <v>164</v>
      </c>
      <c r="C19" s="8" t="s">
        <v>105</v>
      </c>
      <c r="D19" s="8" t="s">
        <v>24</v>
      </c>
      <c r="E19" s="8" t="s">
        <v>106</v>
      </c>
      <c r="F19" s="9" t="s">
        <v>152</v>
      </c>
      <c r="G19" s="9" t="s">
        <v>165</v>
      </c>
      <c r="H19" s="9" t="s">
        <v>166</v>
      </c>
      <c r="I19" s="8" t="s">
        <v>109</v>
      </c>
      <c r="J19" s="10">
        <v>45945.0</v>
      </c>
      <c r="K19" s="8" t="s">
        <v>41</v>
      </c>
      <c r="L19" s="5" t="s">
        <v>30</v>
      </c>
    </row>
    <row r="20" ht="87.0" customHeight="1">
      <c r="A20" s="8" t="s">
        <v>167</v>
      </c>
      <c r="B20" s="8" t="s">
        <v>168</v>
      </c>
      <c r="C20" s="8" t="s">
        <v>169</v>
      </c>
      <c r="D20" s="8" t="s">
        <v>24</v>
      </c>
      <c r="E20" s="8" t="s">
        <v>170</v>
      </c>
      <c r="F20" s="9" t="s">
        <v>171</v>
      </c>
      <c r="G20" s="9" t="s">
        <v>172</v>
      </c>
      <c r="H20" s="9" t="s">
        <v>173</v>
      </c>
      <c r="I20" s="8" t="s">
        <v>174</v>
      </c>
      <c r="J20" s="10">
        <v>45945.0</v>
      </c>
      <c r="K20" s="8" t="s">
        <v>41</v>
      </c>
      <c r="L20" s="5" t="s">
        <v>30</v>
      </c>
    </row>
    <row r="21" ht="15.75" customHeight="1">
      <c r="A21" s="8" t="s">
        <v>175</v>
      </c>
      <c r="B21" s="8" t="s">
        <v>176</v>
      </c>
      <c r="C21" s="8" t="s">
        <v>177</v>
      </c>
      <c r="D21" s="8" t="s">
        <v>24</v>
      </c>
      <c r="E21" s="8" t="s">
        <v>170</v>
      </c>
      <c r="F21" s="9" t="s">
        <v>171</v>
      </c>
      <c r="G21" s="9" t="s">
        <v>178</v>
      </c>
      <c r="H21" s="9" t="s">
        <v>179</v>
      </c>
      <c r="I21" s="8" t="s">
        <v>180</v>
      </c>
      <c r="J21" s="10">
        <v>45945.0</v>
      </c>
      <c r="K21" s="8" t="s">
        <v>41</v>
      </c>
      <c r="L21" s="5" t="s">
        <v>30</v>
      </c>
    </row>
    <row r="22" ht="57.75" customHeight="1">
      <c r="A22" s="8" t="s">
        <v>181</v>
      </c>
      <c r="B22" s="8" t="s">
        <v>182</v>
      </c>
      <c r="C22" s="8" t="s">
        <v>183</v>
      </c>
      <c r="D22" s="8" t="s">
        <v>24</v>
      </c>
      <c r="E22" s="8" t="s">
        <v>184</v>
      </c>
      <c r="F22" s="9" t="s">
        <v>185</v>
      </c>
      <c r="G22" s="9" t="s">
        <v>186</v>
      </c>
      <c r="H22" s="9" t="s">
        <v>187</v>
      </c>
      <c r="I22" s="8" t="s">
        <v>188</v>
      </c>
      <c r="J22" s="10">
        <v>45945.0</v>
      </c>
      <c r="K22" s="8" t="s">
        <v>41</v>
      </c>
      <c r="L22" s="5" t="s">
        <v>30</v>
      </c>
    </row>
    <row r="23" ht="15.75" customHeight="1">
      <c r="A23" s="8" t="s">
        <v>189</v>
      </c>
      <c r="B23" s="8" t="s">
        <v>190</v>
      </c>
      <c r="C23" s="8" t="s">
        <v>191</v>
      </c>
      <c r="D23" s="8" t="s">
        <v>24</v>
      </c>
      <c r="E23" s="8" t="s">
        <v>192</v>
      </c>
      <c r="F23" s="9" t="s">
        <v>193</v>
      </c>
      <c r="G23" s="9" t="s">
        <v>194</v>
      </c>
      <c r="H23" s="9" t="s">
        <v>195</v>
      </c>
      <c r="I23" s="8" t="s">
        <v>196</v>
      </c>
      <c r="J23" s="10">
        <v>45945.0</v>
      </c>
      <c r="K23" s="8" t="s">
        <v>41</v>
      </c>
      <c r="L23" s="5" t="s">
        <v>30</v>
      </c>
    </row>
    <row r="24" ht="15.75" customHeight="1">
      <c r="A24" s="8" t="s">
        <v>197</v>
      </c>
      <c r="B24" s="8" t="s">
        <v>198</v>
      </c>
      <c r="C24" s="8" t="s">
        <v>199</v>
      </c>
      <c r="D24" s="8" t="s">
        <v>24</v>
      </c>
      <c r="E24" s="8" t="s">
        <v>200</v>
      </c>
      <c r="F24" s="9" t="s">
        <v>201</v>
      </c>
      <c r="G24" s="9" t="s">
        <v>202</v>
      </c>
      <c r="H24" s="9" t="s">
        <v>203</v>
      </c>
      <c r="I24" s="8" t="s">
        <v>204</v>
      </c>
      <c r="J24" s="10">
        <v>45945.0</v>
      </c>
      <c r="K24" s="8" t="s">
        <v>41</v>
      </c>
      <c r="L24" s="5" t="s">
        <v>30</v>
      </c>
    </row>
    <row r="25" ht="15.75" customHeight="1">
      <c r="A25" s="8" t="s">
        <v>205</v>
      </c>
      <c r="B25" s="8" t="s">
        <v>206</v>
      </c>
      <c r="C25" s="8" t="s">
        <v>207</v>
      </c>
      <c r="D25" s="8" t="s">
        <v>24</v>
      </c>
      <c r="E25" s="8" t="s">
        <v>200</v>
      </c>
      <c r="F25" s="9" t="s">
        <v>208</v>
      </c>
      <c r="G25" s="9" t="s">
        <v>209</v>
      </c>
      <c r="H25" s="9" t="s">
        <v>210</v>
      </c>
      <c r="I25" s="8" t="s">
        <v>211</v>
      </c>
      <c r="J25" s="10">
        <v>45945.0</v>
      </c>
      <c r="K25" s="8" t="s">
        <v>41</v>
      </c>
      <c r="L25" s="5" t="s">
        <v>30</v>
      </c>
    </row>
    <row r="26" ht="15.75" customHeight="1">
      <c r="A26" s="8" t="s">
        <v>212</v>
      </c>
      <c r="B26" s="8" t="s">
        <v>213</v>
      </c>
      <c r="C26" s="8" t="s">
        <v>214</v>
      </c>
      <c r="D26" s="8" t="s">
        <v>24</v>
      </c>
      <c r="E26" s="8" t="s">
        <v>200</v>
      </c>
      <c r="F26" s="9" t="s">
        <v>215</v>
      </c>
      <c r="G26" s="9" t="s">
        <v>216</v>
      </c>
      <c r="H26" s="9" t="s">
        <v>217</v>
      </c>
      <c r="I26" s="8" t="s">
        <v>218</v>
      </c>
      <c r="J26" s="10">
        <v>45945.0</v>
      </c>
      <c r="K26" s="8" t="s">
        <v>41</v>
      </c>
      <c r="L26" s="5" t="s">
        <v>30</v>
      </c>
    </row>
    <row r="27" ht="15.75" customHeight="1">
      <c r="A27" s="8" t="s">
        <v>219</v>
      </c>
      <c r="B27" s="8" t="s">
        <v>220</v>
      </c>
      <c r="C27" s="8" t="s">
        <v>221</v>
      </c>
      <c r="D27" s="8" t="s">
        <v>24</v>
      </c>
      <c r="E27" s="8" t="s">
        <v>222</v>
      </c>
      <c r="F27" s="9" t="s">
        <v>223</v>
      </c>
      <c r="G27" s="9" t="s">
        <v>224</v>
      </c>
      <c r="H27" s="9" t="s">
        <v>225</v>
      </c>
      <c r="I27" s="8" t="s">
        <v>226</v>
      </c>
      <c r="J27" s="10">
        <v>45945.0</v>
      </c>
      <c r="K27" s="8" t="s">
        <v>41</v>
      </c>
      <c r="L27" s="5" t="s">
        <v>30</v>
      </c>
    </row>
    <row r="28" ht="15.75" customHeight="1">
      <c r="A28" s="8" t="s">
        <v>227</v>
      </c>
      <c r="B28" s="8" t="s">
        <v>228</v>
      </c>
      <c r="C28" s="8" t="s">
        <v>229</v>
      </c>
      <c r="D28" s="8" t="s">
        <v>24</v>
      </c>
      <c r="E28" s="8" t="s">
        <v>230</v>
      </c>
      <c r="F28" s="9" t="s">
        <v>231</v>
      </c>
      <c r="G28" s="9" t="s">
        <v>232</v>
      </c>
      <c r="H28" s="9" t="s">
        <v>233</v>
      </c>
      <c r="I28" s="8" t="s">
        <v>234</v>
      </c>
      <c r="J28" s="10">
        <v>45945.0</v>
      </c>
      <c r="K28" s="8" t="s">
        <v>41</v>
      </c>
      <c r="L28" s="5" t="s">
        <v>30</v>
      </c>
    </row>
    <row r="29" ht="15.75" customHeight="1">
      <c r="A29" s="8" t="s">
        <v>235</v>
      </c>
      <c r="B29" s="8" t="s">
        <v>236</v>
      </c>
      <c r="C29" s="8" t="s">
        <v>105</v>
      </c>
      <c r="D29" s="8" t="s">
        <v>24</v>
      </c>
      <c r="E29" s="8" t="s">
        <v>106</v>
      </c>
      <c r="F29" s="9" t="s">
        <v>231</v>
      </c>
      <c r="G29" s="9" t="s">
        <v>237</v>
      </c>
      <c r="H29" s="9" t="s">
        <v>238</v>
      </c>
      <c r="I29" s="8" t="s">
        <v>109</v>
      </c>
      <c r="J29" s="10">
        <v>45945.0</v>
      </c>
      <c r="K29" s="8" t="s">
        <v>41</v>
      </c>
      <c r="L29" s="5" t="s">
        <v>30</v>
      </c>
    </row>
    <row r="30" ht="15.75" customHeight="1">
      <c r="A30" s="8" t="s">
        <v>239</v>
      </c>
      <c r="B30" s="8" t="s">
        <v>240</v>
      </c>
      <c r="C30" s="8" t="s">
        <v>241</v>
      </c>
      <c r="D30" s="8" t="s">
        <v>24</v>
      </c>
      <c r="E30" s="8" t="s">
        <v>242</v>
      </c>
      <c r="F30" s="9" t="s">
        <v>243</v>
      </c>
      <c r="G30" s="9" t="s">
        <v>244</v>
      </c>
      <c r="H30" s="9" t="s">
        <v>245</v>
      </c>
      <c r="I30" s="8" t="s">
        <v>246</v>
      </c>
      <c r="J30" s="10">
        <v>45945.0</v>
      </c>
      <c r="K30" s="8" t="s">
        <v>41</v>
      </c>
      <c r="L30" s="5" t="s">
        <v>30</v>
      </c>
    </row>
    <row r="31" ht="15.75" customHeight="1">
      <c r="A31" s="8" t="s">
        <v>247</v>
      </c>
      <c r="B31" s="8" t="s">
        <v>248</v>
      </c>
      <c r="C31" s="5"/>
      <c r="D31" s="8" t="s">
        <v>24</v>
      </c>
      <c r="E31" s="5"/>
      <c r="F31" s="6"/>
      <c r="G31" s="6"/>
      <c r="H31" s="6"/>
      <c r="I31" s="5"/>
      <c r="J31" s="10">
        <v>45945.0</v>
      </c>
      <c r="K31" s="8" t="s">
        <v>41</v>
      </c>
      <c r="L31" s="5" t="s">
        <v>30</v>
      </c>
    </row>
    <row r="32" ht="15.75" customHeight="1">
      <c r="A32" s="8" t="s">
        <v>249</v>
      </c>
      <c r="B32" s="8" t="s">
        <v>250</v>
      </c>
      <c r="C32" s="5"/>
      <c r="D32" s="8" t="s">
        <v>24</v>
      </c>
      <c r="E32" s="5"/>
      <c r="F32" s="6"/>
      <c r="G32" s="6"/>
      <c r="H32" s="6"/>
      <c r="I32" s="5"/>
      <c r="J32" s="10">
        <v>45945.0</v>
      </c>
      <c r="K32" s="8" t="s">
        <v>41</v>
      </c>
      <c r="L32" s="5" t="s">
        <v>30</v>
      </c>
    </row>
    <row r="33" ht="15.75" customHeight="1">
      <c r="A33" s="8" t="s">
        <v>251</v>
      </c>
      <c r="B33" s="8" t="s">
        <v>252</v>
      </c>
      <c r="C33" s="5"/>
      <c r="D33" s="8" t="s">
        <v>24</v>
      </c>
      <c r="E33" s="5"/>
      <c r="F33" s="6"/>
      <c r="G33" s="6"/>
      <c r="H33" s="6"/>
      <c r="I33" s="5"/>
      <c r="J33" s="10">
        <v>45945.0</v>
      </c>
      <c r="K33" s="8" t="s">
        <v>41</v>
      </c>
      <c r="L33" s="5" t="s">
        <v>30</v>
      </c>
    </row>
    <row r="34" ht="15.75" customHeight="1">
      <c r="A34" s="8" t="s">
        <v>253</v>
      </c>
      <c r="B34" s="5"/>
      <c r="C34" s="5"/>
      <c r="D34" s="8" t="s">
        <v>24</v>
      </c>
      <c r="E34" s="5"/>
      <c r="F34" s="6"/>
      <c r="G34" s="6"/>
      <c r="H34" s="6"/>
      <c r="I34" s="5"/>
      <c r="J34" s="10">
        <v>45945.0</v>
      </c>
      <c r="K34" s="8" t="s">
        <v>41</v>
      </c>
      <c r="L34" s="5" t="s">
        <v>30</v>
      </c>
    </row>
    <row r="35" ht="15.75" customHeight="1">
      <c r="A35" s="8" t="s">
        <v>254</v>
      </c>
      <c r="B35" s="5"/>
      <c r="C35" s="5"/>
      <c r="D35" s="8" t="s">
        <v>24</v>
      </c>
      <c r="E35" s="5"/>
      <c r="F35" s="6"/>
      <c r="G35" s="6"/>
      <c r="H35" s="6"/>
      <c r="I35" s="5"/>
      <c r="J35" s="10">
        <v>45945.0</v>
      </c>
      <c r="K35" s="8" t="s">
        <v>41</v>
      </c>
      <c r="L35" s="5" t="s">
        <v>30</v>
      </c>
    </row>
    <row r="36" ht="15.75" customHeight="1">
      <c r="A36" s="8" t="s">
        <v>255</v>
      </c>
      <c r="B36" s="5"/>
      <c r="C36" s="5"/>
      <c r="D36" s="8" t="s">
        <v>24</v>
      </c>
      <c r="E36" s="5"/>
      <c r="F36" s="6"/>
      <c r="G36" s="6"/>
      <c r="H36" s="6"/>
      <c r="I36" s="5"/>
      <c r="J36" s="10">
        <v>45945.0</v>
      </c>
      <c r="K36" s="8" t="s">
        <v>41</v>
      </c>
      <c r="L36" s="5" t="s">
        <v>30</v>
      </c>
    </row>
    <row r="37" ht="15.75" customHeight="1">
      <c r="A37" s="8" t="s">
        <v>256</v>
      </c>
      <c r="B37" s="5"/>
      <c r="C37" s="5"/>
      <c r="D37" s="8" t="s">
        <v>24</v>
      </c>
      <c r="E37" s="5"/>
      <c r="F37" s="6"/>
      <c r="G37" s="6"/>
      <c r="H37" s="6"/>
      <c r="I37" s="5"/>
      <c r="J37" s="10">
        <v>45945.0</v>
      </c>
      <c r="K37" s="8" t="s">
        <v>41</v>
      </c>
      <c r="L37" s="5" t="s">
        <v>30</v>
      </c>
    </row>
    <row r="38" ht="15.75" customHeight="1">
      <c r="A38" s="8" t="s">
        <v>257</v>
      </c>
      <c r="B38" s="5"/>
      <c r="C38" s="5"/>
      <c r="D38" s="8" t="s">
        <v>24</v>
      </c>
      <c r="E38" s="5"/>
      <c r="F38" s="6"/>
      <c r="G38" s="6"/>
      <c r="H38" s="6"/>
      <c r="I38" s="5"/>
      <c r="J38" s="10">
        <v>45945.0</v>
      </c>
      <c r="K38" s="8" t="s">
        <v>41</v>
      </c>
      <c r="L38" s="5" t="s">
        <v>30</v>
      </c>
    </row>
    <row r="39" ht="15.75" customHeight="1">
      <c r="A39" s="8" t="s">
        <v>258</v>
      </c>
      <c r="B39" s="5"/>
      <c r="C39" s="5"/>
      <c r="D39" s="8" t="s">
        <v>24</v>
      </c>
      <c r="E39" s="5"/>
      <c r="F39" s="6"/>
      <c r="G39" s="6"/>
      <c r="H39" s="6"/>
      <c r="I39" s="5"/>
      <c r="J39" s="10">
        <v>45945.0</v>
      </c>
      <c r="K39" s="8" t="s">
        <v>41</v>
      </c>
      <c r="L39" s="5" t="s">
        <v>30</v>
      </c>
    </row>
    <row r="40" ht="15.75" customHeight="1">
      <c r="A40" s="8" t="s">
        <v>259</v>
      </c>
      <c r="B40" s="5"/>
      <c r="C40" s="5"/>
      <c r="D40" s="8" t="s">
        <v>24</v>
      </c>
      <c r="E40" s="5"/>
      <c r="F40" s="6"/>
      <c r="G40" s="6"/>
      <c r="H40" s="6"/>
      <c r="I40" s="5"/>
      <c r="J40" s="10">
        <v>45945.0</v>
      </c>
      <c r="K40" s="8" t="s">
        <v>41</v>
      </c>
      <c r="L40" s="5" t="s">
        <v>30</v>
      </c>
    </row>
    <row r="41" ht="15.75" customHeight="1">
      <c r="A41" s="8" t="s">
        <v>260</v>
      </c>
      <c r="B41" s="5"/>
      <c r="C41" s="5"/>
      <c r="D41" s="8" t="s">
        <v>24</v>
      </c>
      <c r="E41" s="5"/>
      <c r="F41" s="6"/>
      <c r="G41" s="6"/>
      <c r="H41" s="6"/>
      <c r="I41" s="5"/>
      <c r="J41" s="10">
        <v>45945.0</v>
      </c>
      <c r="K41" s="8" t="s">
        <v>41</v>
      </c>
      <c r="L41" s="5" t="s">
        <v>30</v>
      </c>
    </row>
    <row r="42" ht="15.75" customHeight="1">
      <c r="A42" s="8" t="s">
        <v>261</v>
      </c>
      <c r="B42" s="5"/>
      <c r="C42" s="5"/>
      <c r="D42" s="8" t="s">
        <v>24</v>
      </c>
      <c r="E42" s="5"/>
      <c r="F42" s="6"/>
      <c r="G42" s="6"/>
      <c r="H42" s="6"/>
      <c r="I42" s="5"/>
      <c r="J42" s="10">
        <v>45945.0</v>
      </c>
      <c r="K42" s="8" t="s">
        <v>41</v>
      </c>
      <c r="L42" s="5" t="s">
        <v>30</v>
      </c>
    </row>
    <row r="43" ht="15.75" customHeight="1">
      <c r="A43" s="8" t="s">
        <v>262</v>
      </c>
      <c r="B43" s="5"/>
      <c r="C43" s="5"/>
      <c r="D43" s="8" t="s">
        <v>24</v>
      </c>
      <c r="E43" s="5"/>
      <c r="F43" s="6"/>
      <c r="G43" s="6"/>
      <c r="H43" s="6"/>
      <c r="I43" s="5"/>
      <c r="J43" s="10">
        <v>45945.0</v>
      </c>
      <c r="K43" s="8" t="s">
        <v>41</v>
      </c>
      <c r="L43" s="5" t="s">
        <v>30</v>
      </c>
    </row>
    <row r="44" ht="15.75" customHeight="1">
      <c r="A44" s="8" t="s">
        <v>263</v>
      </c>
      <c r="B44" s="5"/>
      <c r="C44" s="5"/>
      <c r="D44" s="8" t="s">
        <v>24</v>
      </c>
      <c r="E44" s="5"/>
      <c r="F44" s="6"/>
      <c r="G44" s="6"/>
      <c r="H44" s="6"/>
      <c r="I44" s="5"/>
      <c r="J44" s="10">
        <v>45945.0</v>
      </c>
      <c r="K44" s="8" t="s">
        <v>41</v>
      </c>
      <c r="L44" s="5" t="s">
        <v>30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2025-11-10T11:56:05Z</dcterms:created>
  <dc:creator>JOSUE MICARONI DO ROSARIO</dc:creator>
</cp:coreProperties>
</file>