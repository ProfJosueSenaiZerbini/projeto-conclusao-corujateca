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4"/>
    <sheet state="visible" name="UNITARIOS" sheetId="2" r:id="rId5"/>
    <sheet state="visible" name="FUNCIONAIS" sheetId="3" r:id="rId6"/>
  </sheets>
  <definedNames/>
  <calcPr/>
  <extLst>
    <ext uri="GoogleSheetsCustomDataVersion2">
      <go:sheetsCustomData xmlns:go="http://customooxmlschemas.google.com/" r:id="rId7" roundtripDataChecksum="jHP1AflqlItSY2xcAC6MxH9kFfN/pu1H1BHIpJl8hXo="/>
    </ext>
  </extLst>
</workbook>
</file>

<file path=xl/sharedStrings.xml><?xml version="1.0" encoding="utf-8"?>
<sst xmlns="http://schemas.openxmlformats.org/spreadsheetml/2006/main" count="483" uniqueCount="304">
  <si>
    <t>ID</t>
  </si>
  <si>
    <t>DESCRIÇÃO</t>
  </si>
  <si>
    <t>FUNCAO</t>
  </si>
  <si>
    <t>ARQUIVO</t>
  </si>
  <si>
    <t>DESCRIÇÃO DO CASO DE TESTE</t>
  </si>
  <si>
    <t>IMPL.</t>
  </si>
  <si>
    <t>PRÉ-CONDIÇÕES</t>
  </si>
  <si>
    <t>EXEMPLO DE ENTRADA</t>
  </si>
  <si>
    <t>COMO TESTAR A SAÍDA</t>
  </si>
  <si>
    <t>O QUE DEVE SER ANALISADO</t>
  </si>
  <si>
    <t>DESCRIÇÃO DO ULTIMO RESULTADO OBTIDO</t>
  </si>
  <si>
    <t>DATA</t>
  </si>
  <si>
    <t>TESTER</t>
  </si>
  <si>
    <t>STATUS</t>
  </si>
  <si>
    <t>UNITÁRIOS</t>
  </si>
  <si>
    <t>CTU-001</t>
  </si>
  <si>
    <t>createExemplo()</t>
  </si>
  <si>
    <t>mainModel.js</t>
  </si>
  <si>
    <t xml:space="preserve">createExemplo() deve cadastrar um exemplo </t>
  </si>
  <si>
    <t>SIM</t>
  </si>
  <si>
    <t>NENHUMA</t>
  </si>
  <si>
    <t>{'DADO1','DADO2','DADO3'}</t>
  </si>
  <si>
    <t>1. Acessar o SGBD
2. Executar o seguinte select
Select * from tabelaExemplo;</t>
  </si>
  <si>
    <t>FUNCIONAIS</t>
  </si>
  <si>
    <t>1. os dados cadastrados na entada devem ser iguais aos da saída</t>
  </si>
  <si>
    <t>Josué Rosario</t>
  </si>
  <si>
    <t>PASSOU</t>
  </si>
  <si>
    <t>TESTES NÃO IMPLEMENTADOS</t>
  </si>
  <si>
    <t>FUNCIONALIDADE</t>
  </si>
  <si>
    <t>COMO EXECUTAR O TESTE</t>
  </si>
  <si>
    <t>CTF-001</t>
  </si>
  <si>
    <t>Login Bibliotecário</t>
  </si>
  <si>
    <t>Ao inserir o código de identificação do usuário do tipo bibliotecário e senha 
corretos, o sistema deve levar à tela inicial (home do bibliotecário)</t>
  </si>
  <si>
    <t>Usuário precisa ser do tipo bibliotecário e deve estar 
cadastrado no banco</t>
  </si>
  <si>
    <t>Código de identificação: 7
Senha: 12345678</t>
  </si>
  <si>
    <t>1. Abrir o sistema (página /login)
2. Clicar no card do bibliotecário
3. Inserir código de identificação e senha válido e pressionar "Entrar"</t>
  </si>
  <si>
    <t>1. A tela inicial de login foi mostrada com os cards de tipo de usuário
2. A tela de login correspondente ao tipo de usuário deve ser exibida
3. A tela de home do bibliotecário deve ser exibida</t>
  </si>
  <si>
    <t>O usuário do tipo bibliotecário logou com sucesso
no sistema</t>
  </si>
  <si>
    <t>Stephanny Borrozzino
Maria Luiza Dias Brito da Silva</t>
  </si>
  <si>
    <t>CTF-002</t>
  </si>
  <si>
    <t>Login Frequentador</t>
  </si>
  <si>
    <t>Ao inserir o código de identificação do usuário do tipo frequentador e senha 
corretos, o sistema deve levar à tela inicial (home do frequentador)</t>
  </si>
  <si>
    <t>Usuário precisa ser do tipo frequentador e deve estar 
cadastrado no banco</t>
  </si>
  <si>
    <t>Código de identificação: 23
Senha: 87654321</t>
  </si>
  <si>
    <t>1. Abrir o sistema (página /login)
2. Clicar no card do frequentador
3. Inserir código de identificação e senha válido e pressionar "Entrar"</t>
  </si>
  <si>
    <t>TESTES IMPLEMENTADOS</t>
  </si>
  <si>
    <t>1. A tela inicial de login foi mostrada com os cards de tipo de usuário
2. A tela de login correspondente ao tipo de usuário deve ser exibida
3. A tela de home do frequentador deve ser exibida</t>
  </si>
  <si>
    <t>O usuário do tipo frequentador logou com sucesso
no sistema</t>
  </si>
  <si>
    <t>CTF-004</t>
  </si>
  <si>
    <t>Esqueceu a senha 
Bibliotecário</t>
  </si>
  <si>
    <t>Ao redefinir a senha inserindo a senha do usuário master, o código de 
autenticação e a nova senha, a senha deve ser trocada 
(do usuário correspondente)</t>
  </si>
  <si>
    <t>Código de identificação: 7
Uma nova senha: 01234567
Senha do usuário master: umasenhamuitosegura</t>
  </si>
  <si>
    <t>1. Abrir o sistema (página /login)
2. Clicar no card do bibliotecário
3. Clicar em "Esqueceu sua senha?"
4. Inserir senha master, código de identificação e a nova senha, e 
pressionar "Redefinir Senha"</t>
  </si>
  <si>
    <t xml:space="preserve">1. A tela inicial de login foi mostrada com os cards de tipo de usuário
2. A tela de login correspondente ao tipo de usuário deve ser exibida
3. A tela de esqueceu a senha deve ser exibida
4. Um modal confirmando a troca de senha deve ser exibido
</t>
  </si>
  <si>
    <t>O usuário do tipo bibliotecário redefiniu sua senha
 com sucesso no sistema</t>
  </si>
  <si>
    <t>CTF-005</t>
  </si>
  <si>
    <t>Esqueceu a senha 
Frequentador</t>
  </si>
  <si>
    <t>Código de identificação: 23
Uma nova senha: 01234567
Senha do usuário master: umasenhamuitosegura</t>
  </si>
  <si>
    <t xml:space="preserve">1. Abrir o sistema (página /login)
2. Clicar no card do frequentador
3. Clicar em "Esqueceu sua senha?"
4. Inserir senha master, código de identificação e a nova senha, e 
pressionar "Redefinir Senha"
</t>
  </si>
  <si>
    <t>1. A tela inicial de login foi mostrada com os cards de tipo de usuário
2. A tela de login correspondente ao tipo de usuário deve ser exibida
3. A tela de esqueceu a senha deve ser exibida
4. Um modal confirmando a troca de senha deve ser exibido</t>
  </si>
  <si>
    <t>O usuário do tipo frequentador redefiniu sua senha
 com sucesso no sistema</t>
  </si>
  <si>
    <t>CTF-006</t>
  </si>
  <si>
    <t>Cadastrar novo Bibliotecário</t>
  </si>
  <si>
    <t>Ao inserir um nome de usuário, senha do usuário master, telefone 
(ddd e número),  e senha, o sistema deve cadastrar o novo bibliotecário 
no banco</t>
  </si>
  <si>
    <t>Nenhuma</t>
  </si>
  <si>
    <t>Nome do usuario: Josue Rosario
Senha: 09876543
DDD: 19 
Número: 901921269
Senha do usuário master: umasenhamuitosegura</t>
  </si>
  <si>
    <t>1. Abrir o sistema (página /login)
2. Clicar no card do bibliotecário
3. Clicar em "Ainda não possui uma conta, bibliotecário?"
4. Inserir senha master, nome do usuário, ddd, número e senha, e 
pressionar "Cadastrar Bibliotecário"</t>
  </si>
  <si>
    <t>1. A tela inicial de login foi mostrada com os cards de tipo de usuário
2. A tela de login correspondente ao tipo de usuário deve ser exibida
3. A tela de cadastro de bibliotecário deve ser exibida
4. Um modal confirmando o cadastro e exibindo as informações correspondentes deve ser exibido</t>
  </si>
  <si>
    <t>O usuário do tipo bibliotecário foi cadastrado com 
sucesso no sistema</t>
  </si>
  <si>
    <t>CTF-007</t>
  </si>
  <si>
    <t>Cadastrar novo Livro</t>
  </si>
  <si>
    <t>Ao inserir os dados exigidos no modal, o livro deve ser cadastrado no banco</t>
  </si>
  <si>
    <t xml:space="preserve">Estar logado como bibliotecário </t>
  </si>
  <si>
    <t>Título: "As memórias de Vanitas vol. 3"
Autor: Jun Mochizuki, Raphael Munhoz, 
Eliana Takara
Editora: Panini Comics
Ano de Publicação: 2023
Gênero: Quadrinhos e Mangá
Localização: Estante7 Prateleira 3
URL: https://encrypted-tbn0.gstatic.com/images?q=tbn:ANd9GcRjxb9p46w12x061XbeJUM2Q9udf7-KUH9zYL0rmJwTFQ&amp;s=10
Sinopse: não é obrigatório</t>
  </si>
  <si>
    <t>1. Estando logado, vá para a página "Acervo"
2. Clique em "Cadastrar Novo Livro"
3. Insira os dados em seus respectivos campos sobre um livro 
(nem todos são obrigatórios) e clique em "Cadastrar Livro"</t>
  </si>
  <si>
    <t>1. A tela "Home" deve ser exibida
2. A tela "Acervo" deve ser exibida
3. O modal "Cadastrar Novo Livro" deve ser exibido
4. O livro deve aparecer cadastrado no acervo</t>
  </si>
  <si>
    <t>O livro deve ser cadastrado após inserir suas 
informações no modal "Cadastrar Novo Livro"</t>
  </si>
  <si>
    <t>CTF-008</t>
  </si>
  <si>
    <t>Buscar ISBN</t>
  </si>
  <si>
    <t>Ao inserir um ISBN existente na API externa, a função deve preencher a janela
 com os dados encontrados nos seus respectivos campos</t>
  </si>
  <si>
    <t>Estar logado como bibliotecário, além de que o livro deve
 estar cadastrado na API externa</t>
  </si>
  <si>
    <t>ISBN: 9786525913070</t>
  </si>
  <si>
    <t>1. Estando logado, vá para a página "Acervo"
2. Clique em "Cadastrar Novo Livro"
3. Insira um ISBN no seu campo e clique em "Buscar ISBN"</t>
  </si>
  <si>
    <t>1. A tela "Home" deve ser exibida
2. A tela "Acervo" deve ser exibida
3. O modal "Cadastrar Novo Livro" deve ser exibido
4. (partindo do pressuposto de que o ISBN é válido e esteja na API) Os dados encontrados pela API devem ser preenchidos, enquanto uma mensagem de confirmação é exibida.</t>
  </si>
  <si>
    <t>Os dados encontrados pela API externa foram 
preenchidos automaticamente</t>
  </si>
  <si>
    <t>CTF-009</t>
  </si>
  <si>
    <t>Reativar Livro</t>
  </si>
  <si>
    <t>Ao escolher um livro que estava desativado, ele deve ser reativado 
(inativo = false)</t>
  </si>
  <si>
    <t>Estar logado como bibliotecário, além de que o livro deve
se encontrar desativado no sistema</t>
  </si>
  <si>
    <t>Escolher o titulo de um livro dentro de um select
EX: "Memórias de Vanitas vol. 3 - Jun 
Mochizuki, Raphael Munhoz, 
Eliana Takara"</t>
  </si>
  <si>
    <t>1. Estando logado, vá para a página "Acervo"
2. Clique em "Reativar Livro"
3. Selecione o livro no select e clice em "Reativar Livro"
4. Confirme a reativação</t>
  </si>
  <si>
    <t>1. A tela "Home" deve ser exibida
2. A tela "Acervo" deve ser exibida
3. O modal "Reativar Livro" deve ser exibido
4. O modal de confirmação da reativação do livro deve ser exibido</t>
  </si>
  <si>
    <t>O livro deve ser reativado após selecioná-lo no modal 
"Reativar Livro" e confirmar a ação</t>
  </si>
  <si>
    <t>CTF-010</t>
  </si>
  <si>
    <t>Pesquisar no Filtro do acervo 
do Bibliotecário</t>
  </si>
  <si>
    <t>Ao inserir algumas informações de um livro, as obras catalogadas no acervo 
devem ser filtradas</t>
  </si>
  <si>
    <t>Estar logado como bibliotecário e ter livros no sistema</t>
  </si>
  <si>
    <t>Título: "As memórias de Vanitas vol. 3"
Autor: Jun Mochizuki, Raphael Munhoz, 
Eliana Takara
Ano de Publicação: 2023
Gênero: Quadrinhos e Mangá</t>
  </si>
  <si>
    <t>1. Estando logado, vá para a página "Acervo"
2. Preencha os campos desejados do filtro e aperte em "Pesquisar"</t>
  </si>
  <si>
    <t>1. A tela "Home" deve ser exibida
2. A tela "Acervo" deve ser exibida
3. Os livros filtrados devem ser exibidos</t>
  </si>
  <si>
    <t>Os livros devem ser filtrados de acordo com os dados 
inseridos no sistema de filtragem</t>
  </si>
  <si>
    <t>TESTES QUE PASSARAM</t>
  </si>
  <si>
    <t>CTF-011</t>
  </si>
  <si>
    <t>Limpar Filtro do acervo 
do Bibliotecário</t>
  </si>
  <si>
    <t>Ao clicar no botão "Limpar Filtro" após inserir dados no sistema de filtragem, 
as informações devem ser limpadas</t>
  </si>
  <si>
    <t>Estar logado como bibliotecário e ter preenchido o filtro 
com alguma informação</t>
  </si>
  <si>
    <t>TESTES QUE NÃO PASSARAM</t>
  </si>
  <si>
    <t>1. Estando logado, vá para a página "Acervo"
2. Preencha campos no filtro e aperte em "Limpar filtros"</t>
  </si>
  <si>
    <t>1. A tela "Home" deve ser exibida
2. A tela "Acervo" deve ser exibida
3. Os filtros devem ser limpados</t>
  </si>
  <si>
    <t>Os filtros devem ser limpados após clicar no botão da 
função</t>
  </si>
  <si>
    <t>CTF-012</t>
  </si>
  <si>
    <t>Criar Empréstimo</t>
  </si>
  <si>
    <t>Ao preencher as informações do frequentador e do empréstimo já com um livro
 selecionado, o sistema deve cadastrar um novo empréstimo</t>
  </si>
  <si>
    <t>Estar logado como bibliotecário, já ter selecionado um 
livro, ter um frequentador e ter um exemplar disponível 
no banco</t>
  </si>
  <si>
    <t>Livro: "As memórias de Vanitas vol. 3"
Nome do frequentador: Daniel Emily
Senha: 87654321
Prazo de Empréstimo: 15 dias</t>
  </si>
  <si>
    <t>1. Estando logado, vá para a página "Acervo"
2. Clique no livro que será emprestado
3. Clique no botão "Criar Empréstimo", preencha as informações requeridas pelo modal e clique em "Cadastrar"</t>
  </si>
  <si>
    <t>1. A tela "Home" deve ser exibida
2. A tela "Acervo" deve ser exibida
3. A página do livro específico deve ser exibida
4. O modal "Criar Empréstimo" deve ser exibido
5. A quantidade de cópias disponíveis deve diminuir</t>
  </si>
  <si>
    <t>O empréstimo deve ser criado após a inserção das 
informações requeridas no modal e a quantidade de 
cópias disponíveis da obra deve diminuir</t>
  </si>
  <si>
    <t>CTF-013</t>
  </si>
  <si>
    <t>Atualizar Livro</t>
  </si>
  <si>
    <t>Ao mudar alguma informação do livro, o sistema deve alterar essas 
informações no banco.</t>
  </si>
  <si>
    <t>Estar logado como bibliotecário, já ter selecionado um 
livro e cadastrado no banco.</t>
  </si>
  <si>
    <t xml:space="preserve">Localização: Estante7 Prateleira 35 (informação que será alterada)
</t>
  </si>
  <si>
    <t>1. Estando logado, vá para a página "Acervo"
2. Clique no livro que terá as informações mudadas
3. Clique no botão "Atualizar Livro"
4. Altere as informações desejadas e clique em "Salvar Alterações"</t>
  </si>
  <si>
    <t>1. A tela "Home" deve ser exibida
2. A tela "Acervo" deve ser exibida
3. A página do livro específico deve ser exibida
4. O modal "Atualizar Livro" deve ser exibido
5. As alterações devem ter aparecido nas informações do livro</t>
  </si>
  <si>
    <t>As informações alteradas do livro devem ser 
atualizadas no sistema</t>
  </si>
  <si>
    <t>CTF-014</t>
  </si>
  <si>
    <t>Cadastrar Nova Cópia</t>
  </si>
  <si>
    <t>Ao colocar a quantidade de cópias/exemplares do livro já selecionado, o 
sistema deve criar essa quantidade de cópias no banco</t>
  </si>
  <si>
    <t>Quantidade de cópias: 5</t>
  </si>
  <si>
    <t>1. Estando logado, vá para a página "Acervo"
2. Clique no livro que terá as cópias adicionadas
3. Clique no botão "Cadastrar Nova Cópia"
4. Coloque a quantidade desejada de exemplares e clique em "Cadastrar Cópias"</t>
  </si>
  <si>
    <t>1. A tela "Home" deve ser exibida
2. A tela "Acervo" deve ser exibida
3. A página do livro específico deve ser exibida
4. O modal "Cadastrar Nova Cópia" deve ser exibido
5. A quantidade de cópias totais deve aumentar</t>
  </si>
  <si>
    <t>A quantidade de cópias colocada deve ser criada 
no sistema</t>
  </si>
  <si>
    <t>CTF-015</t>
  </si>
  <si>
    <t>Desativar Exemplar</t>
  </si>
  <si>
    <t>Ao escolher o exemplar desejado e que não tenha empréstimos em 
andamento, o sistema deve desativá-lo</t>
  </si>
  <si>
    <t>Estar logado como bibliotecário e já ter selecionado um 
livro que possua cópias/exemplares que não estejam 
com empréstimos em andamento.</t>
  </si>
  <si>
    <t>Cópia #2 (ID: 123)</t>
  </si>
  <si>
    <t>1. Estando logado, vá para a página "Acervo"
2. Clique no livro que terá as cópias desativadas
3. Clique no botão "Gerenciar Exemplares"
4. Clique no botão "Desativar" da cópia que deseja desativar</t>
  </si>
  <si>
    <t>1. A tela "Home" deve ser exibida
2. A tela "Acervo" deve ser exibida
3. A página do livro específico deve ser exibida
4. O modal "Gerenciar Exemplares" deve ser exibido
5. A quantidade de cópias totais deve diminuir</t>
  </si>
  <si>
    <t>A cópia escolhida deve ser desativada (inativo: true) 
no sistema</t>
  </si>
  <si>
    <t>CTF-016</t>
  </si>
  <si>
    <t>Reativar Exemplar</t>
  </si>
  <si>
    <t>Ao escolher o exemplar desejado que esteja inativado, o sistema deve reativá-lo</t>
  </si>
  <si>
    <t>Estar logado como bibliotecário e já ter selecionado um 
livro que possua cópias/exemplares desativadas.</t>
  </si>
  <si>
    <t>1. Estando logado, vá para a página "Acervo"
2. Clique no livro que terá as cópias reativadas
3. Clique no botão "Gerenciar Exemplares"
4. Clique no botão "Reativar" da cópia que deseja reativar</t>
  </si>
  <si>
    <t>1. A tela "Home" deve ser exibida
2. A tela "Acervo" deve ser exibida
3. A página do livro específico deve ser exibida
4. O modal "Gerenciar Exemplares" deve ser exibido
5. A quantidade de cópias totais deve aumentar</t>
  </si>
  <si>
    <t>A cópia escolhida deve ser reativada (inativo: false) 
no sistema</t>
  </si>
  <si>
    <t>CTF-017</t>
  </si>
  <si>
    <t>Excluir Livro</t>
  </si>
  <si>
    <t>Ao escolher o livro desejado, o sistema deve desativa-lo 
("exclui-lo" - inativo = true) no banco</t>
  </si>
  <si>
    <t>Estar logado como bibliotecário e já ter selecionado um 
livro que não tenha exemplares com empréstimos em 
andamento.</t>
  </si>
  <si>
    <t>Livro: "As memórias de Vanitas vol. 3"</t>
  </si>
  <si>
    <t>1. Estando logado, vá para a página "Acervo"
2. Clique no livro que terá as cópias reativadas
3. Clique no botão "Excluir Livro"
4. Clique no botão "Confirmar exclusão"</t>
  </si>
  <si>
    <t>1. A tela "Home" deve ser exibida
2. A tela "Acervo" deve ser exibida
3. A página do livro específico deve ser exibida
4. O modal "Excluir Livro" deve ser exibido</t>
  </si>
  <si>
    <t>O livro escolhido deve ser excluido/desativado no 
sistema</t>
  </si>
  <si>
    <t>CTF-018</t>
  </si>
  <si>
    <t>Pesquisar no Filtro do 
Empréstimos 
do Bibliotecário</t>
  </si>
  <si>
    <t>Ao inserir algumas informações de um empréstimo, os empréstimos na tela de
"Empréstimos" devem ser filtrados</t>
  </si>
  <si>
    <t>Estar logado como bibliotecário e ter empréstimos 
no sistema</t>
  </si>
  <si>
    <t>1. Estando logado, vá para a página "Empréstimos"
2. Preencha os campos desejados do filtro e aperte em "Pesquisar"</t>
  </si>
  <si>
    <t>1. A tela "Home" deve ser exibida
2. A tela "Empréstimos" deve ser exibida
3. Os empréstimos filtrados devem ser exibidos</t>
  </si>
  <si>
    <t>Os emprestimos devem ser filtrados de acordo com os 
dados inseridos no sistema de filtragem</t>
  </si>
  <si>
    <t>CTF-019</t>
  </si>
  <si>
    <t>Limpar Filtro do Empréstimos
do Bibliotecário</t>
  </si>
  <si>
    <t>1. Estando logado, vá para a página "Empréstimos"
2. Preencha campos no filtro e aperte em "Limpar filtros"</t>
  </si>
  <si>
    <t>1. A tela "Home" deve ser exibida
2. A tela "Empréstimos" deve ser exibida
3. Os filtros devem ser limpados</t>
  </si>
  <si>
    <t>CTF-020</t>
  </si>
  <si>
    <t>Concluir devolução do livro</t>
  </si>
  <si>
    <t>Ao clicar no botão "Concluir devolução do livro" na tela de empréstimos, o 
empréstimo deve ser finalizado e inativado</t>
  </si>
  <si>
    <t>Estar logado como bibliotecário e ter um empréstimo em
 andamento</t>
  </si>
  <si>
    <t>Livro: "As memórias de Vanitas vol. 3"
Autor: Jun Mochizuki, Raphael Munhoz, 
Eliana Takara
Usuário: Daniel Emily
Data de devolução: 30/10/2026
Data do empréstimo: 15/10/206</t>
  </si>
  <si>
    <t xml:space="preserve">1. Estando logado, vá para a página "Empréstimos"
2. Localize o empréstimo que deve ser concluído e aperte no botão 
"Concluir devolução do livro"
3. Aperte no botão "Entendi" do modal de confirmação </t>
  </si>
  <si>
    <t>1. A tela "Home" deve ser exibida
2. A tela "Empréstimos" deve ser exibida
3. O modal de devolução concluída deve ser exibido
4. O empréstimo deve ser concluído</t>
  </si>
  <si>
    <t>O empréstimo deve ser concluído após clicar no botão 
da função</t>
  </si>
  <si>
    <t>CTF-021</t>
  </si>
  <si>
    <t>Cancelar empréstimo</t>
  </si>
  <si>
    <t>Ao clicar no botão "Cancelar empréstimo" na tela de empréstimos, o 
empréstimo deve ser cancelado e inativado</t>
  </si>
  <si>
    <t xml:space="preserve">1. Estando logado, vá para a página "Empréstimos"
2. Localize o empréstimo que deve ser cancelado e aperte no botão 
"Cancelar empréstimo"
3. Aperte no botão "Confirmar cancelamento" do modal de verificação do
cancelamento
4. Aperte no botão "Entendi" do modal de confirmação </t>
  </si>
  <si>
    <t>1. A tela "Home" deve ser exibida
2. A tela "Empréstimos" deve ser exibida
3. O modal de verificação do cancelamento deve ser exibido
4. O modal de confirmação do cancelamento deve ser exibido
5. O empréstimo deve ser cancelado</t>
  </si>
  <si>
    <t>O empréstimo deve ser cancelado (inativo: true) após 
clicar no botão da função</t>
  </si>
  <si>
    <t>CTF-022</t>
  </si>
  <si>
    <t>Cadastrar novo frequentador</t>
  </si>
  <si>
    <t>Ao clicar no botão "Cadastrar novo frequentador" na tela de usuários, um novo
usuário deve ser registrado no sistema</t>
  </si>
  <si>
    <t>Estar logado como bibliotecário</t>
  </si>
  <si>
    <t>Nome completo: Raphael Miles
Senha: 98765432
DDD: 19
Número: 989173757</t>
  </si>
  <si>
    <t>1. Estando logado, vá para a página "Usuários"
2. Localize e aperte no botão "Cadastrar novo frequentador"
3. Preencha as informações requeridas pelo modal para cadastrar o usuário e clique em "Cadastrar"</t>
  </si>
  <si>
    <t>1. A tela "Home" deve ser exibida
2. A tela "Usuários" deve ser exibida
3. O modal "Cadastrar frequentador" deve ser exibido
4. O usuário deve ser catalogado no sistema</t>
  </si>
  <si>
    <t>O usuário deve ser registrado no sistema após 
a inserção dos seus dados no modal de cadastramento</t>
  </si>
  <si>
    <t>CTF-023</t>
  </si>
  <si>
    <t>Reativar frequentador</t>
  </si>
  <si>
    <t>Ao clicar no botão "Reativar frequentador" na tela de usuários e selecionar um 
usuário deletado no sistema, este mesmo usuário deve ser reativado</t>
  </si>
  <si>
    <t>Estar logado como bibliotecário e ter um usuário 
desativado (deletado)</t>
  </si>
  <si>
    <t>Escolher um frequentador dentro de um select
EX: "Raphael Miles - ID 32"</t>
  </si>
  <si>
    <t>1. Estando logado, vá para a página "Usuários"
2. Localize e aperte no botão "Reativar frequentador"
3. Encontre e selecione o frequentador desativado e aperte em "Reativar conta"</t>
  </si>
  <si>
    <t>1. A tela "Home" deve ser exibida
2. A tela "Usuários" deve ser exibida
3. O modal "Reativar frequentador" deve ser exibido
4. O usuário deve ser reativado no sistema</t>
  </si>
  <si>
    <t>O usuário deve ser reativado no sistema após 
selecioná-lo no modal da função de "Reativar 
frequentador"</t>
  </si>
  <si>
    <t>CTF-024</t>
  </si>
  <si>
    <t>Detalhes frequentador</t>
  </si>
  <si>
    <t>Ao clicar no botão "Detalhes" na tela de usuários, todas as informações 
importantes do mesmo devem ser exibidas</t>
  </si>
  <si>
    <t>Estar logado como bibliotecário e ter um usuário 
ativo no sistema</t>
  </si>
  <si>
    <t>Nome completo: Raphael Miles
Identificação: 32
DDD: 19
Número: 989173757
Situação da conta: Ativo
Situação de empréstimo: Regular</t>
  </si>
  <si>
    <t>1. Estando logado, vá para a página "Usuários"
2. Localize e aperte no botão "Detalhes" na linha do frequentador que 
desejar</t>
  </si>
  <si>
    <t>1. A tela "Home" deve ser exibida
2. A tela "Usuários" deve ser exibida
3. O modal "Detalhes do frequentador" deve ser exibido com todas as informações relevantes do frequentador</t>
  </si>
  <si>
    <t>As informações do usuário devem ser visualizadas após
apertar no botão "Detalhes" em um modal</t>
  </si>
  <si>
    <t>CTF-025</t>
  </si>
  <si>
    <t>Atualizar frequentador</t>
  </si>
  <si>
    <t>Ao clicar no botão "Atualizar" na tela de usuários, todas as informações 
importantes e alteráveis desse usuário no sistema devem ser exibidas</t>
  </si>
  <si>
    <t>Número: 739173757 (informação que foi 
alterada)</t>
  </si>
  <si>
    <t>1. Estando logado, vá para a página "Usuários"
2. Localize e aperte no botão "Atualizar" na linha do frequentador que 
desejar</t>
  </si>
  <si>
    <t>1. A tela "Home" deve ser exibida
2. A tela "Usuários" deve ser exibida
3. O modal "Atualizar frequentador" deve ser exibido com todas as informações relevantes e alteráveis do frequentador</t>
  </si>
  <si>
    <t>As informações não sensíveis do usuário devem ser 
visualizadas e ter a opção de serem altera após clicar 
no botão "Atualizar" em um modal</t>
  </si>
  <si>
    <t>CTF-026</t>
  </si>
  <si>
    <t>Desativar frequentador</t>
  </si>
  <si>
    <t>Ao clicar no botão "Desativar" na tela de usuários, o frequentador têm a sua 
conta desativada (deletada)</t>
  </si>
  <si>
    <t>Nome: Raphael Miles</t>
  </si>
  <si>
    <t>1. Estando logado, vá para a página "Usuários"
2. Localize e aperte no botão "Desativar" na linha do frequentador que 
desejar
3. Aperte no botão "Confirmar desativação" do modal de confirmação</t>
  </si>
  <si>
    <t>1. A tela "Home" deve ser exibida
2. A tela "Usuários" deve ser exibida
3. O modal "Desativar frequentador" deve ser exibido com informações não sensíveis do usuário
4. O usuário deve ser desativado no sistema</t>
  </si>
  <si>
    <t>As informações não sensíveis do usuário devem ser 
visualizadas antes da conta ser desativada ao clicar em
"Confirmar desativação"</t>
  </si>
  <si>
    <t>CTF-027</t>
  </si>
  <si>
    <t>Cadastrar nova multa</t>
  </si>
  <si>
    <t>Ao clicar no botão "Cadastrar nova multa" na tela de multas, o bibliotecário 
cadastra uma multa no sistema em nome de um frequentador</t>
  </si>
  <si>
    <t>Estar logado como bibliotecário e ter um usuário 
que se encaixa em uma situação de multa</t>
  </si>
  <si>
    <t>Frequentador: Enzo Barbino
Tipo de multa: EXTRAVIO (nesse caso, 30 dias
de multa)
Todas as datas são calculadas automaticamente</t>
  </si>
  <si>
    <t>1. Estando logado, vá para a página "Multas"
2. Localize e aperte no botão "Cadastrar nova multa" e selecione as informações necessárias para a sua catalogação
3. Aperte no botão "Cadastrar multa" no modal</t>
  </si>
  <si>
    <t>1. A tela "Home" deve ser exibida
2. A tela "Multas" deve ser exibida
3. O modal "Cadastrar nova multa" deve ser exibido
4. A multa deve aparecer em multas cadastradas</t>
  </si>
  <si>
    <t>A multa deve ser registrada no sistema após 
a inserção dos dados no modal de "Cadastrar nova 
multa"</t>
  </si>
  <si>
    <t>CTF-028</t>
  </si>
  <si>
    <t>Pesquisar no Filtro de Multas
do Bibliotecário</t>
  </si>
  <si>
    <t>Ao inserir algumas informações de alguma multa, as multas na tela de
"Multas" devem ser filtradas</t>
  </si>
  <si>
    <t>Estar logado como bibliotecário e ter multas registradas
no sistema</t>
  </si>
  <si>
    <t>Nome do frequentador: Enzo Barbino
Data: (de início ou término)
Tipo de multa: EXTRAVIO</t>
  </si>
  <si>
    <t>1. Estando logado, vá para a página "Multas"
2. Preencha os campos desejados do filtro e aperte em "Pesquisar"</t>
  </si>
  <si>
    <t>1. A tela "Home" deve ser exibida
2. A tela "Multas" deve ser exibida
3. As multas filtradas devem ser exibidas</t>
  </si>
  <si>
    <t>As multas devem ser filtradas de acordo com os 
dados inseridos no sistema de filtragem</t>
  </si>
  <si>
    <t>CTF-029</t>
  </si>
  <si>
    <t>Limpar Filtro da Multas
do Bibliotecário</t>
  </si>
  <si>
    <t>1. Estando logado, vá para a página "Multas"
2. Preencha campos no filtro e aperte em "Limpar filtros"</t>
  </si>
  <si>
    <t>1. A tela "Home" deve ser exibida
2. A tela "Multas" deve ser exibida
3. Os filtros devem ser limpados</t>
  </si>
  <si>
    <t>CTF-030</t>
  </si>
  <si>
    <t>Cancelar multa</t>
  </si>
  <si>
    <t>Ao clicar no botão "Cancelar multa", a multa é cancela</t>
  </si>
  <si>
    <t>Estar logado como bibliotecário e ter uma multa ativa</t>
  </si>
  <si>
    <t>Nome do frequentador: Enzo Barbino
Tipo de multa: EXTRAVIO
Status: Pendente</t>
  </si>
  <si>
    <t>1. Estando logado, vá para a página "Multas"
2. Localize e clique no botão "Cancelar multa"
3. Clique no botão "Confirmar cancelamento" no modal de cancelar multa</t>
  </si>
  <si>
    <t>1. A tela "Home" deve ser exibida
2. A tela "Multas" deve ser exibida
3. O modal "Confirmar cancelamento" deve ser exibido</t>
  </si>
  <si>
    <t>A multa deve ser cancelada após clicar no botão da 
função e do modal</t>
  </si>
  <si>
    <t>CTF-031</t>
  </si>
  <si>
    <t>Sair da conta Bibliotecário</t>
  </si>
  <si>
    <t>Ao clicar no botão "Sair da Conta", o usuário do bibliotecário deve ser 
deslogado e a página deve ser redirecionada para a página inicial de login</t>
  </si>
  <si>
    <t>Nunhuma entrada precisa ser colocada,
apenas precisa estar logado com uma conta
Ex: Nome do usuario: Beatriz dos Anjos
Senha: 12345678</t>
  </si>
  <si>
    <t>1. Estando logado, clique na coruja no canto superior direito da tela
2. Clique no botão "Sair da conta"</t>
  </si>
  <si>
    <t>1. A tela "Home" deve ser exibida
2. O modal do perfil deve ser exibido
3. A tela de "Login" deve ser exibido</t>
  </si>
  <si>
    <t>O usuário do bibliotecário deve ser deslogado da conta
e a página será redirecionada para a página de Login</t>
  </si>
  <si>
    <t>Stephanny Borrozzino</t>
  </si>
  <si>
    <t>CTF-032</t>
  </si>
  <si>
    <t>Atualizar conta Bibliotecário</t>
  </si>
  <si>
    <t>Ao mudar as informações de um usuário bibliotecário o sistema deve
atualizar esses dados no banco</t>
  </si>
  <si>
    <t>Número: 533039601 (informação que foi 
alterada)</t>
  </si>
  <si>
    <t>1. Estando logado, clique na coruja no canto superior direito da tela
2. Clique no botão "Configurações de perfil"
3. Clique no botão "Atualizar Conta"
4. Altere as informações no modal e clique em "Continuar"
5. Confira as informações e clique em "Confirmar Alterações"
6. No modal de conta atualizada clique em "Entendi"</t>
  </si>
  <si>
    <t>1. A tela "Home" deve ser exibida
2. O modal do perfil deve ser exibido
3. A tela "Configurações" deve ser exibida
4. O modal de "Atualizar conta" deve ser exibido
5. O modal de "Confimar alterações" deve ser exibido
6. O modal de "Conta atualizada" deve ser exibido
7. A tela "Configurações" com os dados alterados deve ser exibida</t>
  </si>
  <si>
    <t>A conta do bibliotecário deve ser atutualizada com os
dados alterados</t>
  </si>
  <si>
    <t>CTF-033</t>
  </si>
  <si>
    <t>Excluir conta Bibliotecário</t>
  </si>
  <si>
    <t>Ao clicar em  "Excluir conta", a conta do bibliotecário deve ser inativada no 
sistema</t>
  </si>
  <si>
    <t>1. Estando logado, clique na coruja no canto superior direito da tela
2. Clique no botão "Configurações de perfil"
3. Clique no botão "Excluir Conta"
4. No modal "Excluir conta" clique em "Excluir minha conta"
5. No modal "Conta excluída" clique em "Entendi"</t>
  </si>
  <si>
    <t>1. A tela "Home" deve ser exibida
2. O modal do perfil deve ser exibido
3. A tela "Configurações" deve ser exibida
4. O modal de "Excluir conta" deve ser exibido
5. O modal "Conta excluída" deve ser exibido
6. A tela de "Login" deve ser exibido</t>
  </si>
  <si>
    <t>A conta do bibliotecário deve ser inativada, não sendo
possível logar com ela</t>
  </si>
  <si>
    <t>CTF-034</t>
  </si>
  <si>
    <t>Pesquisar no Filtro do acervo 
do Frequentador</t>
  </si>
  <si>
    <t>Estar logado como frequentador e ter livros no sistema</t>
  </si>
  <si>
    <t>CTF-035</t>
  </si>
  <si>
    <t>Limpar Filtro do acervo 
do Frequentador</t>
  </si>
  <si>
    <t>Estar logado como frequentador e ter preenchido o filtro 
com alguma informação</t>
  </si>
  <si>
    <t xml:space="preserve">Stephanny Borrozzino
</t>
  </si>
  <si>
    <t>CTF-036</t>
  </si>
  <si>
    <t>Pesquisar no Filtro do 
Empréstimos 
do Frequentador</t>
  </si>
  <si>
    <t>Ao inserir algumas informações de um empréstimo, os empréstimos do 
frequentador correspondente na tela de "Empréstimos" devem ser filtrados</t>
  </si>
  <si>
    <t>Estar logado como frequentador e ter empréstimos dele
no sistema</t>
  </si>
  <si>
    <t>Status: "Em andamento"</t>
  </si>
  <si>
    <t>Os emprestimos do frequentador correspondente 
devem ser filtrados de acordo com os 
dados inseridos no sistema de filtragem</t>
  </si>
  <si>
    <t>CTF-037</t>
  </si>
  <si>
    <t>Limpar Filtro do Empréstimos
do Frequentador</t>
  </si>
  <si>
    <t>CTF-038</t>
  </si>
  <si>
    <t>Pesquisar no Filtro de Multas
do Frequentador</t>
  </si>
  <si>
    <t>Ao inserir algumas informações de alguma multa, as multas do frequentador
 correspondente na tela de "Multas" devem ser filtradas</t>
  </si>
  <si>
    <t>Estar logado como frequentador e ter multas dele 
registradas no sistema</t>
  </si>
  <si>
    <t>Status: "Pendente"</t>
  </si>
  <si>
    <t>1. Estando logado, vá para a página "Multas"
2. Preencha os campos desejados do filtro</t>
  </si>
  <si>
    <t>As multas do frequentador correspondente devem ser
filtradas de acordo com os dados inseridos no sistema 
de filtragem</t>
  </si>
  <si>
    <t>CTF-039</t>
  </si>
  <si>
    <t>Limpar Filtro da Multas
do Frequentador</t>
  </si>
  <si>
    <t>CTF-040</t>
  </si>
  <si>
    <t>Sair da conta Frequentador</t>
  </si>
  <si>
    <t>Ao clicar no botão "Sair da Conta", o usuário do frequentador deve ser 
deslogado e a página deve ser redirecionada para a página inicial de login</t>
  </si>
  <si>
    <t>Estar logado como frequentador</t>
  </si>
  <si>
    <t>Nunhuma entrada precisa ser colocada,
apenas precisa estar logado com uma conta
Ex: Nome do usuario: Daniel Emily
Senha: 87654321</t>
  </si>
  <si>
    <t>O usuário do frequentador deve ser deslogado da conta
e a página será redirecionada para a página de Login</t>
  </si>
  <si>
    <t>CTF-041</t>
  </si>
  <si>
    <t>Excluir conta Frequentador</t>
  </si>
  <si>
    <t>Ao clicar em  "Excluir conta", a conta do frequentador deve ser inativada no 
sistema</t>
  </si>
  <si>
    <t>1. Estando logado, clique na coruja no canto superior direito da tela
2. Clique no botão "Configurações de perfil"
3. Clique no botão "Excluir Conta"
4. No modal "Excluir conta" clique em "Excluir conta"</t>
  </si>
  <si>
    <t>1. A tela "Home" deve ser exibida
2. O modal do perfil deve ser exibido
3. A tela "Configurações" deve ser exibida
4. O modal de "Excluir conta" deve ser exibido
5. A tela de "Login" deve ser exibido</t>
  </si>
  <si>
    <t>A conta do frequentador deve ser inativada, não sendo
possível logar com ela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</si>
</sst>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b/>
      <sz val="11.0"/>
      <color theme="1"/>
      <name val="Aptos Narrow"/>
    </font>
    <font>
      <sz val="11.0"/>
      <color theme="1"/>
      <name val="Aptos Narrow"/>
    </font>
    <font>
      <sz val="11.0"/>
      <color theme="1"/>
      <name val="Arial"/>
    </font>
  </fonts>
  <fills count="3">
    <fill>
      <patternFill patternType="none"/>
    </fill>
    <fill>
      <patternFill patternType="lightGray"/>
    </fill>
    <fill>
      <patternFill patternType="solid">
        <fgColor rgb="FFFAE2D5"/>
        <bgColor rgb="FFFAE2D5"/>
      </patternFill>
    </fill>
  </fills>
  <borders count="4">
    <border/>
    <border>
      <left/>
      <right/>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2" fillId="0" fontId="2" numFmtId="0" xfId="0" applyAlignment="1" applyBorder="1" applyFont="1">
      <alignment vertical="top"/>
    </xf>
    <xf borderId="1" fillId="2" fontId="1" numFmtId="0" xfId="0" applyAlignment="1" applyBorder="1" applyFill="1" applyFont="1">
      <alignment horizontal="center"/>
    </xf>
    <xf borderId="2" fillId="0" fontId="2" numFmtId="0" xfId="0" applyAlignment="1" applyBorder="1" applyFont="1">
      <alignment shrinkToFit="0" vertical="top" wrapText="1"/>
    </xf>
    <xf borderId="2" fillId="0" fontId="2" numFmtId="14" xfId="0" applyAlignment="1" applyBorder="1" applyFont="1" applyNumberFormat="1">
      <alignment vertical="top"/>
    </xf>
    <xf borderId="3" fillId="0" fontId="2" numFmtId="0" xfId="0" applyBorder="1" applyFont="1"/>
    <xf borderId="3" fillId="0" fontId="2" numFmtId="0" xfId="0" applyAlignment="1" applyBorder="1" applyFont="1">
      <alignment horizontal="center"/>
    </xf>
    <xf borderId="2" fillId="0" fontId="3" numFmtId="0" xfId="0" applyAlignment="1" applyBorder="1" applyFont="1">
      <alignment vertical="top"/>
    </xf>
    <xf borderId="2" fillId="0" fontId="3" numFmtId="0" xfId="0" applyAlignment="1" applyBorder="1" applyFont="1">
      <alignment shrinkToFit="0" vertical="top" wrapText="1"/>
    </xf>
    <xf borderId="2" fillId="0" fontId="3" numFmtId="14" xfId="0" applyAlignment="1" applyBorder="1" applyFont="1" applyNumberFormat="1">
      <alignment vertical="top"/>
    </xf>
    <xf borderId="2" fillId="0" fontId="3" numFmtId="0" xfId="0" applyAlignment="1" applyBorder="1" applyFont="1">
      <alignment readingOrder="0" vertical="top"/>
    </xf>
    <xf borderId="2" fillId="0" fontId="3" numFmtId="0" xfId="0" applyAlignment="1" applyBorder="1" applyFont="1">
      <alignment readingOrder="0" shrinkToFit="0" vertical="top" wrapText="1"/>
    </xf>
    <xf borderId="2" fillId="0" fontId="3" numFmtId="14" xfId="0" applyAlignment="1" applyBorder="1" applyFont="1" applyNumberForma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16.0"/>
    <col customWidth="1" min="3" max="3" width="18.63"/>
    <col customWidth="1" min="4" max="26" width="8.63"/>
  </cols>
  <sheetData>
    <row r="1">
      <c r="A1" s="1" t="s">
        <v>1</v>
      </c>
      <c r="B1" s="3" t="s">
        <v>14</v>
      </c>
      <c r="C1" s="3" t="s">
        <v>23</v>
      </c>
    </row>
    <row r="2">
      <c r="A2" s="6" t="s">
        <v>27</v>
      </c>
      <c r="B2" s="7">
        <f>COUNTIFS(UNITARIOS!$E:$E,"=NÃO")</f>
        <v>0</v>
      </c>
      <c r="C2" s="7">
        <f>COUNTIFS(FUNCIONAIS!$D:$D,"=NÃO")</f>
        <v>0</v>
      </c>
    </row>
    <row r="3">
      <c r="A3" s="6" t="s">
        <v>45</v>
      </c>
      <c r="B3" s="7">
        <f>COUNTIFS(UNITARIOS!$E:$E,"=SIM")</f>
        <v>1</v>
      </c>
      <c r="C3" s="7">
        <f>COUNTIFS(FUNCIONAIS!$D:$D,"=SIM")</f>
        <v>40</v>
      </c>
    </row>
    <row r="4">
      <c r="A4" s="6" t="s">
        <v>101</v>
      </c>
      <c r="B4" s="7">
        <f>COUNTIFS(UNITARIOS!M:M,"=PASSOU")</f>
        <v>1</v>
      </c>
      <c r="C4" s="7">
        <f>COUNTIFS(FUNCIONAIS!$L:$L,"=PASSOU")</f>
        <v>40</v>
      </c>
    </row>
    <row r="5">
      <c r="A5" s="6" t="s">
        <v>106</v>
      </c>
      <c r="B5" s="7">
        <f>COUNTIFS(UNITARIOS!M:M,"=NAO PASSOU")</f>
        <v>0</v>
      </c>
      <c r="C5" s="7">
        <f>COUNTIFS(FUNCIONAIS!$L:$L,"=NÃO")</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5.38"/>
    <col customWidth="1" min="3" max="3" width="13.25"/>
    <col customWidth="1" min="4" max="4" width="39.88"/>
    <col customWidth="1" min="5" max="5" width="5.88"/>
    <col customWidth="1" min="6" max="6" width="26.88"/>
    <col customWidth="1" min="7" max="7" width="28.63"/>
    <col customWidth="1" min="8" max="8" width="36.13"/>
    <col customWidth="1" min="9" max="9" width="60.75"/>
    <col customWidth="1" min="10" max="10" width="43.13"/>
    <col customWidth="1" min="11" max="11" width="10.38"/>
    <col customWidth="1" min="12" max="12" width="36.38"/>
    <col customWidth="1" min="13" max="13" width="20.88"/>
    <col customWidth="1" min="14" max="26" width="8.63"/>
  </cols>
  <sheetData>
    <row r="1">
      <c r="A1" s="1" t="s">
        <v>0</v>
      </c>
      <c r="B1" s="1" t="s">
        <v>2</v>
      </c>
      <c r="C1" s="1" t="s">
        <v>3</v>
      </c>
      <c r="D1" s="1" t="s">
        <v>4</v>
      </c>
      <c r="E1" s="1" t="s">
        <v>5</v>
      </c>
      <c r="F1" s="1" t="s">
        <v>6</v>
      </c>
      <c r="G1" s="1" t="s">
        <v>7</v>
      </c>
      <c r="H1" s="1" t="s">
        <v>8</v>
      </c>
      <c r="I1" s="1" t="s">
        <v>9</v>
      </c>
      <c r="J1" s="1" t="s">
        <v>10</v>
      </c>
      <c r="K1" s="1" t="s">
        <v>11</v>
      </c>
      <c r="L1" s="1" t="s">
        <v>12</v>
      </c>
      <c r="M1" s="1" t="s">
        <v>13</v>
      </c>
    </row>
    <row r="2">
      <c r="A2" s="2" t="s">
        <v>15</v>
      </c>
      <c r="B2" s="2" t="s">
        <v>16</v>
      </c>
      <c r="C2" s="2" t="s">
        <v>17</v>
      </c>
      <c r="D2" s="2" t="s">
        <v>18</v>
      </c>
      <c r="E2" s="2" t="s">
        <v>19</v>
      </c>
      <c r="F2" s="2" t="s">
        <v>20</v>
      </c>
      <c r="G2" s="2" t="s">
        <v>21</v>
      </c>
      <c r="H2" s="4" t="s">
        <v>22</v>
      </c>
      <c r="I2" s="2" t="s">
        <v>24</v>
      </c>
      <c r="J2" s="2"/>
      <c r="K2" s="5">
        <v>45971.0</v>
      </c>
      <c r="L2" s="2" t="s">
        <v>25</v>
      </c>
      <c r="M2" s="2" t="s">
        <v>26</v>
      </c>
      <c r="N2" s="2"/>
      <c r="O2" s="2"/>
      <c r="P2" s="2"/>
      <c r="Q2" s="2"/>
      <c r="R2" s="2"/>
      <c r="S2" s="2"/>
      <c r="T2" s="2"/>
      <c r="U2" s="2"/>
      <c r="V2" s="2"/>
      <c r="W2" s="2"/>
      <c r="X2" s="2"/>
      <c r="Y2" s="2"/>
      <c r="Z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6.0"/>
    <col customWidth="1" min="3" max="3" width="66.25"/>
    <col customWidth="1" min="4" max="4" width="7.75"/>
    <col customWidth="1" min="5" max="5" width="47.75"/>
    <col customWidth="1" min="6" max="6" width="40.0"/>
    <col customWidth="1" min="7" max="7" width="60.75"/>
    <col customWidth="1" min="8" max="8" width="74.0"/>
    <col customWidth="1" min="9" max="9" width="46.88"/>
    <col customWidth="1" min="10" max="10" width="14.75"/>
    <col customWidth="1" min="11" max="11" width="32.25"/>
    <col customWidth="1" min="12" max="12" width="20.63"/>
    <col customWidth="1" min="13" max="26" width="8.63"/>
  </cols>
  <sheetData>
    <row r="1">
      <c r="A1" s="1" t="s">
        <v>0</v>
      </c>
      <c r="B1" s="1" t="s">
        <v>28</v>
      </c>
      <c r="C1" s="1" t="s">
        <v>4</v>
      </c>
      <c r="D1" s="1" t="s">
        <v>5</v>
      </c>
      <c r="E1" s="1" t="s">
        <v>6</v>
      </c>
      <c r="F1" s="1" t="s">
        <v>7</v>
      </c>
      <c r="G1" s="1" t="s">
        <v>29</v>
      </c>
      <c r="H1" s="1" t="s">
        <v>9</v>
      </c>
      <c r="I1" s="1" t="s">
        <v>10</v>
      </c>
      <c r="J1" s="1" t="s">
        <v>11</v>
      </c>
      <c r="K1" s="1" t="s">
        <v>12</v>
      </c>
      <c r="L1" s="1" t="s">
        <v>13</v>
      </c>
    </row>
    <row r="2" ht="42.75" customHeight="1">
      <c r="A2" s="8" t="s">
        <v>30</v>
      </c>
      <c r="B2" s="8" t="s">
        <v>31</v>
      </c>
      <c r="C2" s="8" t="s">
        <v>32</v>
      </c>
      <c r="D2" s="8" t="s">
        <v>19</v>
      </c>
      <c r="E2" s="8" t="s">
        <v>33</v>
      </c>
      <c r="F2" s="9" t="s">
        <v>34</v>
      </c>
      <c r="G2" s="9" t="s">
        <v>35</v>
      </c>
      <c r="H2" s="9" t="s">
        <v>36</v>
      </c>
      <c r="I2" s="8" t="s">
        <v>37</v>
      </c>
      <c r="J2" s="10">
        <v>45945.0</v>
      </c>
      <c r="K2" s="8" t="s">
        <v>38</v>
      </c>
      <c r="L2" s="2" t="s">
        <v>26</v>
      </c>
    </row>
    <row r="3" ht="42.75" customHeight="1">
      <c r="A3" s="8" t="s">
        <v>39</v>
      </c>
      <c r="B3" s="8" t="s">
        <v>40</v>
      </c>
      <c r="C3" s="8" t="s">
        <v>41</v>
      </c>
      <c r="D3" s="8" t="s">
        <v>19</v>
      </c>
      <c r="E3" s="8" t="s">
        <v>42</v>
      </c>
      <c r="F3" s="9" t="s">
        <v>43</v>
      </c>
      <c r="G3" s="9" t="s">
        <v>44</v>
      </c>
      <c r="H3" s="9" t="s">
        <v>46</v>
      </c>
      <c r="I3" s="8" t="s">
        <v>47</v>
      </c>
      <c r="J3" s="10">
        <v>45945.0</v>
      </c>
      <c r="K3" s="8" t="s">
        <v>38</v>
      </c>
      <c r="L3" s="2" t="s">
        <v>26</v>
      </c>
    </row>
    <row r="4" ht="73.5" customHeight="1">
      <c r="A4" s="8" t="s">
        <v>48</v>
      </c>
      <c r="B4" s="8" t="s">
        <v>49</v>
      </c>
      <c r="C4" s="8" t="s">
        <v>50</v>
      </c>
      <c r="D4" s="8" t="s">
        <v>19</v>
      </c>
      <c r="E4" s="8" t="s">
        <v>33</v>
      </c>
      <c r="F4" s="9" t="s">
        <v>51</v>
      </c>
      <c r="G4" s="9" t="s">
        <v>52</v>
      </c>
      <c r="H4" s="9" t="s">
        <v>53</v>
      </c>
      <c r="I4" s="8" t="s">
        <v>54</v>
      </c>
      <c r="J4" s="10">
        <v>45945.0</v>
      </c>
      <c r="K4" s="8" t="s">
        <v>38</v>
      </c>
      <c r="L4" s="2" t="s">
        <v>26</v>
      </c>
    </row>
    <row r="5" ht="78.0" customHeight="1">
      <c r="A5" s="8" t="s">
        <v>55</v>
      </c>
      <c r="B5" s="8" t="s">
        <v>56</v>
      </c>
      <c r="C5" s="8" t="s">
        <v>50</v>
      </c>
      <c r="D5" s="8" t="s">
        <v>19</v>
      </c>
      <c r="E5" s="8" t="s">
        <v>42</v>
      </c>
      <c r="F5" s="9" t="s">
        <v>57</v>
      </c>
      <c r="G5" s="9" t="s">
        <v>58</v>
      </c>
      <c r="H5" s="9" t="s">
        <v>59</v>
      </c>
      <c r="I5" s="8" t="s">
        <v>60</v>
      </c>
      <c r="J5" s="10">
        <v>45945.0</v>
      </c>
      <c r="K5" s="8" t="s">
        <v>38</v>
      </c>
      <c r="L5" s="2" t="s">
        <v>26</v>
      </c>
    </row>
    <row r="6" ht="93.0" customHeight="1">
      <c r="A6" s="8" t="s">
        <v>61</v>
      </c>
      <c r="B6" s="8" t="s">
        <v>62</v>
      </c>
      <c r="C6" s="8" t="s">
        <v>63</v>
      </c>
      <c r="D6" s="8" t="s">
        <v>19</v>
      </c>
      <c r="E6" s="8" t="s">
        <v>64</v>
      </c>
      <c r="F6" s="9" t="s">
        <v>65</v>
      </c>
      <c r="G6" s="9" t="s">
        <v>66</v>
      </c>
      <c r="H6" s="9" t="s">
        <v>67</v>
      </c>
      <c r="I6" s="8" t="s">
        <v>68</v>
      </c>
      <c r="J6" s="10">
        <v>45945.0</v>
      </c>
      <c r="K6" s="8" t="s">
        <v>38</v>
      </c>
      <c r="L6" s="2" t="s">
        <v>26</v>
      </c>
    </row>
    <row r="7" ht="168.0" customHeight="1">
      <c r="A7" s="8" t="s">
        <v>69</v>
      </c>
      <c r="B7" s="8" t="s">
        <v>70</v>
      </c>
      <c r="C7" s="8" t="s">
        <v>71</v>
      </c>
      <c r="D7" s="8" t="s">
        <v>19</v>
      </c>
      <c r="E7" s="8" t="s">
        <v>72</v>
      </c>
      <c r="F7" s="9" t="s">
        <v>73</v>
      </c>
      <c r="G7" s="9" t="s">
        <v>74</v>
      </c>
      <c r="H7" s="9" t="s">
        <v>75</v>
      </c>
      <c r="I7" s="8" t="s">
        <v>76</v>
      </c>
      <c r="J7" s="10">
        <v>45945.0</v>
      </c>
      <c r="K7" s="8" t="s">
        <v>38</v>
      </c>
      <c r="L7" s="2" t="s">
        <v>26</v>
      </c>
    </row>
    <row r="8" ht="103.5" customHeight="1">
      <c r="A8" s="8" t="s">
        <v>77</v>
      </c>
      <c r="B8" s="8" t="s">
        <v>78</v>
      </c>
      <c r="C8" s="8" t="s">
        <v>79</v>
      </c>
      <c r="D8" s="8" t="s">
        <v>19</v>
      </c>
      <c r="E8" s="8" t="s">
        <v>80</v>
      </c>
      <c r="F8" s="9" t="s">
        <v>81</v>
      </c>
      <c r="G8" s="9" t="s">
        <v>82</v>
      </c>
      <c r="H8" s="9" t="s">
        <v>83</v>
      </c>
      <c r="I8" s="8" t="s">
        <v>84</v>
      </c>
      <c r="J8" s="10">
        <v>45945.0</v>
      </c>
      <c r="K8" s="8" t="s">
        <v>38</v>
      </c>
      <c r="L8" s="2" t="s">
        <v>26</v>
      </c>
    </row>
    <row r="9" ht="103.5" customHeight="1">
      <c r="A9" s="8" t="s">
        <v>85</v>
      </c>
      <c r="B9" s="8" t="s">
        <v>86</v>
      </c>
      <c r="C9" s="8" t="s">
        <v>87</v>
      </c>
      <c r="D9" s="8" t="s">
        <v>19</v>
      </c>
      <c r="E9" s="8" t="s">
        <v>88</v>
      </c>
      <c r="F9" s="9" t="s">
        <v>89</v>
      </c>
      <c r="G9" s="9" t="s">
        <v>90</v>
      </c>
      <c r="H9" s="9" t="s">
        <v>91</v>
      </c>
      <c r="I9" s="8" t="s">
        <v>92</v>
      </c>
      <c r="J9" s="10">
        <v>45945.0</v>
      </c>
      <c r="K9" s="8" t="s">
        <v>38</v>
      </c>
      <c r="L9" s="2" t="s">
        <v>26</v>
      </c>
    </row>
    <row r="10" ht="81.75" customHeight="1">
      <c r="A10" s="8" t="s">
        <v>93</v>
      </c>
      <c r="B10" s="8" t="s">
        <v>94</v>
      </c>
      <c r="C10" s="8" t="s">
        <v>95</v>
      </c>
      <c r="D10" s="8" t="s">
        <v>19</v>
      </c>
      <c r="E10" s="8" t="s">
        <v>96</v>
      </c>
      <c r="F10" s="9" t="s">
        <v>97</v>
      </c>
      <c r="G10" s="9" t="s">
        <v>98</v>
      </c>
      <c r="H10" s="9" t="s">
        <v>99</v>
      </c>
      <c r="I10" s="8" t="s">
        <v>100</v>
      </c>
      <c r="J10" s="10">
        <v>45945.0</v>
      </c>
      <c r="K10" s="8" t="s">
        <v>38</v>
      </c>
      <c r="L10" s="2" t="s">
        <v>26</v>
      </c>
    </row>
    <row r="11" ht="82.5" customHeight="1">
      <c r="A11" s="8" t="s">
        <v>102</v>
      </c>
      <c r="B11" s="8" t="s">
        <v>103</v>
      </c>
      <c r="C11" s="8" t="s">
        <v>104</v>
      </c>
      <c r="D11" s="8" t="s">
        <v>19</v>
      </c>
      <c r="E11" s="8" t="s">
        <v>105</v>
      </c>
      <c r="F11" s="9" t="s">
        <v>97</v>
      </c>
      <c r="G11" s="9" t="s">
        <v>107</v>
      </c>
      <c r="H11" s="9" t="s">
        <v>108</v>
      </c>
      <c r="I11" s="8" t="s">
        <v>109</v>
      </c>
      <c r="J11" s="10">
        <v>45945.0</v>
      </c>
      <c r="K11" s="8" t="s">
        <v>38</v>
      </c>
      <c r="L11" s="2" t="s">
        <v>26</v>
      </c>
    </row>
    <row r="12" ht="92.25" customHeight="1">
      <c r="A12" s="8" t="s">
        <v>110</v>
      </c>
      <c r="B12" s="8" t="s">
        <v>111</v>
      </c>
      <c r="C12" s="8" t="s">
        <v>112</v>
      </c>
      <c r="D12" s="8" t="s">
        <v>19</v>
      </c>
      <c r="E12" s="8" t="s">
        <v>113</v>
      </c>
      <c r="F12" s="9" t="s">
        <v>114</v>
      </c>
      <c r="G12" s="9" t="s">
        <v>115</v>
      </c>
      <c r="H12" s="9" t="s">
        <v>116</v>
      </c>
      <c r="I12" s="8" t="s">
        <v>117</v>
      </c>
      <c r="J12" s="10">
        <v>45945.0</v>
      </c>
      <c r="K12" s="8" t="s">
        <v>38</v>
      </c>
      <c r="L12" s="2" t="s">
        <v>26</v>
      </c>
    </row>
    <row r="13" ht="109.5" customHeight="1">
      <c r="A13" s="8" t="s">
        <v>118</v>
      </c>
      <c r="B13" s="8" t="s">
        <v>119</v>
      </c>
      <c r="C13" s="8" t="s">
        <v>120</v>
      </c>
      <c r="D13" s="8" t="s">
        <v>19</v>
      </c>
      <c r="E13" s="8" t="s">
        <v>121</v>
      </c>
      <c r="F13" s="9" t="s">
        <v>122</v>
      </c>
      <c r="G13" s="9" t="s">
        <v>123</v>
      </c>
      <c r="H13" s="9" t="s">
        <v>124</v>
      </c>
      <c r="I13" s="8" t="s">
        <v>125</v>
      </c>
      <c r="J13" s="10">
        <v>45945.0</v>
      </c>
      <c r="K13" s="8" t="s">
        <v>38</v>
      </c>
      <c r="L13" s="2" t="s">
        <v>26</v>
      </c>
    </row>
    <row r="14" ht="82.5" customHeight="1">
      <c r="A14" s="8" t="s">
        <v>126</v>
      </c>
      <c r="B14" s="8" t="s">
        <v>127</v>
      </c>
      <c r="C14" s="8" t="s">
        <v>128</v>
      </c>
      <c r="D14" s="8" t="s">
        <v>19</v>
      </c>
      <c r="E14" s="8" t="s">
        <v>121</v>
      </c>
      <c r="F14" s="9" t="s">
        <v>129</v>
      </c>
      <c r="G14" s="9" t="s">
        <v>130</v>
      </c>
      <c r="H14" s="9" t="s">
        <v>131</v>
      </c>
      <c r="I14" s="8" t="s">
        <v>132</v>
      </c>
      <c r="J14" s="10">
        <v>45945.0</v>
      </c>
      <c r="K14" s="8" t="s">
        <v>38</v>
      </c>
      <c r="L14" s="2" t="s">
        <v>26</v>
      </c>
    </row>
    <row r="15" ht="84.75" customHeight="1">
      <c r="A15" s="8" t="s">
        <v>133</v>
      </c>
      <c r="B15" s="8" t="s">
        <v>134</v>
      </c>
      <c r="C15" s="8" t="s">
        <v>135</v>
      </c>
      <c r="D15" s="8" t="s">
        <v>19</v>
      </c>
      <c r="E15" s="8" t="s">
        <v>136</v>
      </c>
      <c r="F15" s="9" t="s">
        <v>137</v>
      </c>
      <c r="G15" s="9" t="s">
        <v>138</v>
      </c>
      <c r="H15" s="9" t="s">
        <v>139</v>
      </c>
      <c r="I15" s="8" t="s">
        <v>140</v>
      </c>
      <c r="J15" s="10">
        <v>45945.0</v>
      </c>
      <c r="K15" s="8" t="s">
        <v>38</v>
      </c>
      <c r="L15" s="2" t="s">
        <v>26</v>
      </c>
    </row>
    <row r="16" ht="70.5" customHeight="1">
      <c r="A16" s="8" t="s">
        <v>141</v>
      </c>
      <c r="B16" s="8" t="s">
        <v>142</v>
      </c>
      <c r="C16" s="8" t="s">
        <v>143</v>
      </c>
      <c r="D16" s="8" t="s">
        <v>19</v>
      </c>
      <c r="E16" s="8" t="s">
        <v>144</v>
      </c>
      <c r="F16" s="9" t="s">
        <v>137</v>
      </c>
      <c r="G16" s="9" t="s">
        <v>145</v>
      </c>
      <c r="H16" s="9" t="s">
        <v>146</v>
      </c>
      <c r="I16" s="8" t="s">
        <v>147</v>
      </c>
      <c r="J16" s="10">
        <v>45945.0</v>
      </c>
      <c r="K16" s="8" t="s">
        <v>38</v>
      </c>
      <c r="L16" s="2" t="s">
        <v>26</v>
      </c>
    </row>
    <row r="17" ht="97.5" customHeight="1">
      <c r="A17" s="8" t="s">
        <v>148</v>
      </c>
      <c r="B17" s="8" t="s">
        <v>149</v>
      </c>
      <c r="C17" s="8" t="s">
        <v>150</v>
      </c>
      <c r="D17" s="8" t="s">
        <v>19</v>
      </c>
      <c r="E17" s="8" t="s">
        <v>151</v>
      </c>
      <c r="F17" s="9" t="s">
        <v>152</v>
      </c>
      <c r="G17" s="9" t="s">
        <v>153</v>
      </c>
      <c r="H17" s="9" t="s">
        <v>154</v>
      </c>
      <c r="I17" s="8" t="s">
        <v>155</v>
      </c>
      <c r="J17" s="10">
        <v>45945.0</v>
      </c>
      <c r="K17" s="8" t="s">
        <v>38</v>
      </c>
      <c r="L17" s="2" t="s">
        <v>26</v>
      </c>
    </row>
    <row r="18" ht="67.5" customHeight="1">
      <c r="A18" s="8" t="s">
        <v>156</v>
      </c>
      <c r="B18" s="8" t="s">
        <v>157</v>
      </c>
      <c r="C18" s="11" t="s">
        <v>158</v>
      </c>
      <c r="D18" s="8" t="s">
        <v>19</v>
      </c>
      <c r="E18" s="8" t="s">
        <v>159</v>
      </c>
      <c r="F18" s="9" t="s">
        <v>152</v>
      </c>
      <c r="G18" s="9" t="s">
        <v>160</v>
      </c>
      <c r="H18" s="9" t="s">
        <v>161</v>
      </c>
      <c r="I18" s="8" t="s">
        <v>162</v>
      </c>
      <c r="J18" s="10">
        <v>45945.0</v>
      </c>
      <c r="K18" s="8" t="s">
        <v>38</v>
      </c>
      <c r="L18" s="2" t="s">
        <v>26</v>
      </c>
    </row>
    <row r="19" ht="59.25" customHeight="1">
      <c r="A19" s="8" t="s">
        <v>163</v>
      </c>
      <c r="B19" s="8" t="s">
        <v>164</v>
      </c>
      <c r="C19" s="8" t="s">
        <v>104</v>
      </c>
      <c r="D19" s="8" t="s">
        <v>19</v>
      </c>
      <c r="E19" s="8" t="s">
        <v>105</v>
      </c>
      <c r="F19" s="9" t="s">
        <v>152</v>
      </c>
      <c r="G19" s="9" t="s">
        <v>165</v>
      </c>
      <c r="H19" s="9" t="s">
        <v>166</v>
      </c>
      <c r="I19" s="8" t="s">
        <v>109</v>
      </c>
      <c r="J19" s="10">
        <v>45945.0</v>
      </c>
      <c r="K19" s="8" t="s">
        <v>38</v>
      </c>
      <c r="L19" s="2" t="s">
        <v>26</v>
      </c>
    </row>
    <row r="20" ht="94.5" customHeight="1">
      <c r="A20" s="8" t="s">
        <v>167</v>
      </c>
      <c r="B20" s="8" t="s">
        <v>168</v>
      </c>
      <c r="C20" s="8" t="s">
        <v>169</v>
      </c>
      <c r="D20" s="8" t="s">
        <v>19</v>
      </c>
      <c r="E20" s="8" t="s">
        <v>170</v>
      </c>
      <c r="F20" s="9" t="s">
        <v>171</v>
      </c>
      <c r="G20" s="9" t="s">
        <v>172</v>
      </c>
      <c r="H20" s="9" t="s">
        <v>173</v>
      </c>
      <c r="I20" s="8" t="s">
        <v>174</v>
      </c>
      <c r="J20" s="10">
        <v>45945.0</v>
      </c>
      <c r="K20" s="8" t="s">
        <v>38</v>
      </c>
      <c r="L20" s="2" t="s">
        <v>26</v>
      </c>
    </row>
    <row r="21" ht="98.25" customHeight="1">
      <c r="A21" s="8" t="s">
        <v>175</v>
      </c>
      <c r="B21" s="8" t="s">
        <v>176</v>
      </c>
      <c r="C21" s="8" t="s">
        <v>177</v>
      </c>
      <c r="D21" s="8" t="s">
        <v>19</v>
      </c>
      <c r="E21" s="8" t="s">
        <v>170</v>
      </c>
      <c r="F21" s="9" t="s">
        <v>171</v>
      </c>
      <c r="G21" s="9" t="s">
        <v>178</v>
      </c>
      <c r="H21" s="9" t="s">
        <v>179</v>
      </c>
      <c r="I21" s="8" t="s">
        <v>180</v>
      </c>
      <c r="J21" s="10">
        <v>45945.0</v>
      </c>
      <c r="K21" s="8" t="s">
        <v>38</v>
      </c>
      <c r="L21" s="2" t="s">
        <v>26</v>
      </c>
    </row>
    <row r="22" ht="71.25" customHeight="1">
      <c r="A22" s="8" t="s">
        <v>181</v>
      </c>
      <c r="B22" s="8" t="s">
        <v>182</v>
      </c>
      <c r="C22" s="8" t="s">
        <v>183</v>
      </c>
      <c r="D22" s="8" t="s">
        <v>19</v>
      </c>
      <c r="E22" s="8" t="s">
        <v>184</v>
      </c>
      <c r="F22" s="9" t="s">
        <v>185</v>
      </c>
      <c r="G22" s="9" t="s">
        <v>186</v>
      </c>
      <c r="H22" s="9" t="s">
        <v>187</v>
      </c>
      <c r="I22" s="8" t="s">
        <v>188</v>
      </c>
      <c r="J22" s="10">
        <v>45945.0</v>
      </c>
      <c r="K22" s="8" t="s">
        <v>38</v>
      </c>
      <c r="L22" s="2" t="s">
        <v>26</v>
      </c>
    </row>
    <row r="23" ht="73.5" customHeight="1">
      <c r="A23" s="8" t="s">
        <v>189</v>
      </c>
      <c r="B23" s="8" t="s">
        <v>190</v>
      </c>
      <c r="C23" s="8" t="s">
        <v>191</v>
      </c>
      <c r="D23" s="8" t="s">
        <v>19</v>
      </c>
      <c r="E23" s="8" t="s">
        <v>192</v>
      </c>
      <c r="F23" s="9" t="s">
        <v>193</v>
      </c>
      <c r="G23" s="9" t="s">
        <v>194</v>
      </c>
      <c r="H23" s="9" t="s">
        <v>195</v>
      </c>
      <c r="I23" s="8" t="s">
        <v>196</v>
      </c>
      <c r="J23" s="10">
        <v>45945.0</v>
      </c>
      <c r="K23" s="8" t="s">
        <v>38</v>
      </c>
      <c r="L23" s="2" t="s">
        <v>26</v>
      </c>
    </row>
    <row r="24" ht="98.25" customHeight="1">
      <c r="A24" s="8" t="s">
        <v>197</v>
      </c>
      <c r="B24" s="8" t="s">
        <v>198</v>
      </c>
      <c r="C24" s="8" t="s">
        <v>199</v>
      </c>
      <c r="D24" s="8" t="s">
        <v>19</v>
      </c>
      <c r="E24" s="8" t="s">
        <v>200</v>
      </c>
      <c r="F24" s="9" t="s">
        <v>201</v>
      </c>
      <c r="G24" s="9" t="s">
        <v>202</v>
      </c>
      <c r="H24" s="9" t="s">
        <v>203</v>
      </c>
      <c r="I24" s="8" t="s">
        <v>204</v>
      </c>
      <c r="J24" s="10">
        <v>45945.0</v>
      </c>
      <c r="K24" s="8" t="s">
        <v>38</v>
      </c>
      <c r="L24" s="2" t="s">
        <v>26</v>
      </c>
    </row>
    <row r="25" ht="69.0" customHeight="1">
      <c r="A25" s="8" t="s">
        <v>205</v>
      </c>
      <c r="B25" s="8" t="s">
        <v>206</v>
      </c>
      <c r="C25" s="8" t="s">
        <v>207</v>
      </c>
      <c r="D25" s="8" t="s">
        <v>19</v>
      </c>
      <c r="E25" s="8" t="s">
        <v>200</v>
      </c>
      <c r="F25" s="9" t="s">
        <v>208</v>
      </c>
      <c r="G25" s="9" t="s">
        <v>209</v>
      </c>
      <c r="H25" s="9" t="s">
        <v>210</v>
      </c>
      <c r="I25" s="8" t="s">
        <v>211</v>
      </c>
      <c r="J25" s="10">
        <v>45945.0</v>
      </c>
      <c r="K25" s="8" t="s">
        <v>38</v>
      </c>
      <c r="L25" s="2" t="s">
        <v>26</v>
      </c>
    </row>
    <row r="26" ht="84.0" customHeight="1">
      <c r="A26" s="8" t="s">
        <v>212</v>
      </c>
      <c r="B26" s="8" t="s">
        <v>213</v>
      </c>
      <c r="C26" s="8" t="s">
        <v>214</v>
      </c>
      <c r="D26" s="8" t="s">
        <v>19</v>
      </c>
      <c r="E26" s="8" t="s">
        <v>200</v>
      </c>
      <c r="F26" s="9" t="s">
        <v>215</v>
      </c>
      <c r="G26" s="9" t="s">
        <v>216</v>
      </c>
      <c r="H26" s="9" t="s">
        <v>217</v>
      </c>
      <c r="I26" s="8" t="s">
        <v>218</v>
      </c>
      <c r="J26" s="10">
        <v>45945.0</v>
      </c>
      <c r="K26" s="8" t="s">
        <v>38</v>
      </c>
      <c r="L26" s="2" t="s">
        <v>26</v>
      </c>
    </row>
    <row r="27" ht="92.25" customHeight="1">
      <c r="A27" s="8" t="s">
        <v>219</v>
      </c>
      <c r="B27" s="8" t="s">
        <v>220</v>
      </c>
      <c r="C27" s="8" t="s">
        <v>221</v>
      </c>
      <c r="D27" s="8" t="s">
        <v>19</v>
      </c>
      <c r="E27" s="8" t="s">
        <v>222</v>
      </c>
      <c r="F27" s="9" t="s">
        <v>223</v>
      </c>
      <c r="G27" s="9" t="s">
        <v>224</v>
      </c>
      <c r="H27" s="9" t="s">
        <v>225</v>
      </c>
      <c r="I27" s="8" t="s">
        <v>226</v>
      </c>
      <c r="J27" s="10">
        <v>45945.0</v>
      </c>
      <c r="K27" s="8" t="s">
        <v>38</v>
      </c>
      <c r="L27" s="2" t="s">
        <v>26</v>
      </c>
    </row>
    <row r="28" ht="59.25" customHeight="1">
      <c r="A28" s="8" t="s">
        <v>227</v>
      </c>
      <c r="B28" s="8" t="s">
        <v>228</v>
      </c>
      <c r="C28" s="8" t="s">
        <v>229</v>
      </c>
      <c r="D28" s="8" t="s">
        <v>19</v>
      </c>
      <c r="E28" s="8" t="s">
        <v>230</v>
      </c>
      <c r="F28" s="9" t="s">
        <v>231</v>
      </c>
      <c r="G28" s="9" t="s">
        <v>232</v>
      </c>
      <c r="H28" s="9" t="s">
        <v>233</v>
      </c>
      <c r="I28" s="8" t="s">
        <v>234</v>
      </c>
      <c r="J28" s="10">
        <v>45945.0</v>
      </c>
      <c r="K28" s="8" t="s">
        <v>38</v>
      </c>
      <c r="L28" s="2" t="s">
        <v>26</v>
      </c>
    </row>
    <row r="29" ht="51.75" customHeight="1">
      <c r="A29" s="8" t="s">
        <v>235</v>
      </c>
      <c r="B29" s="8" t="s">
        <v>236</v>
      </c>
      <c r="C29" s="8" t="s">
        <v>104</v>
      </c>
      <c r="D29" s="8" t="s">
        <v>19</v>
      </c>
      <c r="E29" s="8" t="s">
        <v>105</v>
      </c>
      <c r="F29" s="9" t="s">
        <v>231</v>
      </c>
      <c r="G29" s="9" t="s">
        <v>237</v>
      </c>
      <c r="H29" s="9" t="s">
        <v>238</v>
      </c>
      <c r="I29" s="8" t="s">
        <v>109</v>
      </c>
      <c r="J29" s="10">
        <v>45945.0</v>
      </c>
      <c r="K29" s="8" t="s">
        <v>38</v>
      </c>
      <c r="L29" s="2" t="s">
        <v>26</v>
      </c>
    </row>
    <row r="30" ht="57.0" customHeight="1">
      <c r="A30" s="8" t="s">
        <v>239</v>
      </c>
      <c r="B30" s="8" t="s">
        <v>240</v>
      </c>
      <c r="C30" s="8" t="s">
        <v>241</v>
      </c>
      <c r="D30" s="8" t="s">
        <v>19</v>
      </c>
      <c r="E30" s="8" t="s">
        <v>242</v>
      </c>
      <c r="F30" s="9" t="s">
        <v>243</v>
      </c>
      <c r="G30" s="9" t="s">
        <v>244</v>
      </c>
      <c r="H30" s="9" t="s">
        <v>245</v>
      </c>
      <c r="I30" s="8" t="s">
        <v>246</v>
      </c>
      <c r="J30" s="10">
        <v>45945.0</v>
      </c>
      <c r="K30" s="8" t="s">
        <v>38</v>
      </c>
      <c r="L30" s="2" t="s">
        <v>26</v>
      </c>
    </row>
    <row r="31" ht="72.75" customHeight="1">
      <c r="A31" s="8" t="s">
        <v>247</v>
      </c>
      <c r="B31" s="8" t="s">
        <v>248</v>
      </c>
      <c r="C31" s="11" t="s">
        <v>249</v>
      </c>
      <c r="D31" s="8" t="s">
        <v>19</v>
      </c>
      <c r="E31" s="11" t="s">
        <v>184</v>
      </c>
      <c r="F31" s="12" t="s">
        <v>250</v>
      </c>
      <c r="G31" s="12" t="s">
        <v>251</v>
      </c>
      <c r="H31" s="12" t="s">
        <v>252</v>
      </c>
      <c r="I31" s="11" t="s">
        <v>253</v>
      </c>
      <c r="J31" s="13">
        <v>45952.0</v>
      </c>
      <c r="K31" s="11" t="s">
        <v>254</v>
      </c>
      <c r="L31" s="2" t="s">
        <v>26</v>
      </c>
    </row>
    <row r="32" ht="104.25" customHeight="1">
      <c r="A32" s="8" t="s">
        <v>255</v>
      </c>
      <c r="B32" s="8" t="s">
        <v>256</v>
      </c>
      <c r="C32" s="11" t="s">
        <v>257</v>
      </c>
      <c r="D32" s="8" t="s">
        <v>19</v>
      </c>
      <c r="E32" s="11" t="s">
        <v>184</v>
      </c>
      <c r="F32" s="12" t="s">
        <v>258</v>
      </c>
      <c r="G32" s="12" t="s">
        <v>259</v>
      </c>
      <c r="H32" s="12" t="s">
        <v>260</v>
      </c>
      <c r="I32" s="11" t="s">
        <v>261</v>
      </c>
      <c r="J32" s="13">
        <v>45952.0</v>
      </c>
      <c r="K32" s="11" t="s">
        <v>254</v>
      </c>
      <c r="L32" s="2" t="s">
        <v>26</v>
      </c>
    </row>
    <row r="33" ht="89.25" customHeight="1">
      <c r="A33" s="8" t="s">
        <v>262</v>
      </c>
      <c r="B33" s="8" t="s">
        <v>263</v>
      </c>
      <c r="C33" s="11" t="s">
        <v>264</v>
      </c>
      <c r="D33" s="8" t="s">
        <v>19</v>
      </c>
      <c r="E33" s="11" t="s">
        <v>184</v>
      </c>
      <c r="F33" s="12" t="s">
        <v>250</v>
      </c>
      <c r="G33" s="12" t="s">
        <v>265</v>
      </c>
      <c r="H33" s="12" t="s">
        <v>266</v>
      </c>
      <c r="I33" s="11" t="s">
        <v>267</v>
      </c>
      <c r="J33" s="13">
        <v>45952.0</v>
      </c>
      <c r="K33" s="11" t="s">
        <v>254</v>
      </c>
      <c r="L33" s="2" t="s">
        <v>26</v>
      </c>
    </row>
    <row r="34" ht="92.25" customHeight="1">
      <c r="A34" s="8" t="s">
        <v>268</v>
      </c>
      <c r="B34" s="11" t="s">
        <v>269</v>
      </c>
      <c r="C34" s="8" t="s">
        <v>95</v>
      </c>
      <c r="D34" s="8" t="s">
        <v>19</v>
      </c>
      <c r="E34" s="11" t="s">
        <v>270</v>
      </c>
      <c r="F34" s="9" t="s">
        <v>97</v>
      </c>
      <c r="G34" s="9" t="s">
        <v>98</v>
      </c>
      <c r="H34" s="9" t="s">
        <v>99</v>
      </c>
      <c r="I34" s="8" t="s">
        <v>100</v>
      </c>
      <c r="J34" s="13">
        <v>45952.0</v>
      </c>
      <c r="K34" s="11" t="s">
        <v>254</v>
      </c>
      <c r="L34" s="2" t="s">
        <v>26</v>
      </c>
    </row>
    <row r="35" ht="80.25" customHeight="1">
      <c r="A35" s="8" t="s">
        <v>271</v>
      </c>
      <c r="B35" s="11" t="s">
        <v>272</v>
      </c>
      <c r="C35" s="8" t="s">
        <v>104</v>
      </c>
      <c r="D35" s="8" t="s">
        <v>19</v>
      </c>
      <c r="E35" s="11" t="s">
        <v>273</v>
      </c>
      <c r="F35" s="9" t="s">
        <v>97</v>
      </c>
      <c r="G35" s="9" t="s">
        <v>107</v>
      </c>
      <c r="H35" s="9" t="s">
        <v>108</v>
      </c>
      <c r="I35" s="8" t="s">
        <v>109</v>
      </c>
      <c r="J35" s="13">
        <v>45952.0</v>
      </c>
      <c r="K35" s="11" t="s">
        <v>274</v>
      </c>
      <c r="L35" s="2" t="s">
        <v>26</v>
      </c>
    </row>
    <row r="36" ht="54.75" customHeight="1">
      <c r="A36" s="8" t="s">
        <v>275</v>
      </c>
      <c r="B36" s="11" t="s">
        <v>276</v>
      </c>
      <c r="C36" s="11" t="s">
        <v>277</v>
      </c>
      <c r="D36" s="8" t="s">
        <v>19</v>
      </c>
      <c r="E36" s="11" t="s">
        <v>278</v>
      </c>
      <c r="F36" s="12" t="s">
        <v>279</v>
      </c>
      <c r="G36" s="9" t="s">
        <v>160</v>
      </c>
      <c r="H36" s="9" t="s">
        <v>161</v>
      </c>
      <c r="I36" s="11" t="s">
        <v>280</v>
      </c>
      <c r="J36" s="13">
        <v>45952.0</v>
      </c>
      <c r="K36" s="11" t="s">
        <v>274</v>
      </c>
      <c r="L36" s="2" t="s">
        <v>26</v>
      </c>
    </row>
    <row r="37" ht="55.5" customHeight="1">
      <c r="A37" s="8" t="s">
        <v>281</v>
      </c>
      <c r="B37" s="11" t="s">
        <v>282</v>
      </c>
      <c r="C37" s="8" t="s">
        <v>104</v>
      </c>
      <c r="D37" s="8" t="s">
        <v>19</v>
      </c>
      <c r="E37" s="11" t="s">
        <v>273</v>
      </c>
      <c r="F37" s="12" t="s">
        <v>279</v>
      </c>
      <c r="G37" s="9" t="s">
        <v>165</v>
      </c>
      <c r="H37" s="9" t="s">
        <v>166</v>
      </c>
      <c r="I37" s="8" t="s">
        <v>109</v>
      </c>
      <c r="J37" s="13">
        <v>45952.0</v>
      </c>
      <c r="K37" s="11" t="s">
        <v>254</v>
      </c>
      <c r="L37" s="2" t="s">
        <v>26</v>
      </c>
    </row>
    <row r="38" ht="56.25" customHeight="1">
      <c r="A38" s="8" t="s">
        <v>283</v>
      </c>
      <c r="B38" s="11" t="s">
        <v>284</v>
      </c>
      <c r="C38" s="11" t="s">
        <v>285</v>
      </c>
      <c r="D38" s="8" t="s">
        <v>19</v>
      </c>
      <c r="E38" s="11" t="s">
        <v>286</v>
      </c>
      <c r="F38" s="12" t="s">
        <v>287</v>
      </c>
      <c r="G38" s="12" t="s">
        <v>288</v>
      </c>
      <c r="H38" s="9" t="s">
        <v>233</v>
      </c>
      <c r="I38" s="11" t="s">
        <v>289</v>
      </c>
      <c r="J38" s="13">
        <v>45952.0</v>
      </c>
      <c r="K38" s="11" t="s">
        <v>254</v>
      </c>
      <c r="L38" s="2" t="s">
        <v>26</v>
      </c>
    </row>
    <row r="39" ht="66.0" customHeight="1">
      <c r="A39" s="8" t="s">
        <v>290</v>
      </c>
      <c r="B39" s="11" t="s">
        <v>291</v>
      </c>
      <c r="C39" s="8" t="s">
        <v>104</v>
      </c>
      <c r="D39" s="8" t="s">
        <v>19</v>
      </c>
      <c r="E39" s="11" t="s">
        <v>273</v>
      </c>
      <c r="F39" s="12" t="s">
        <v>287</v>
      </c>
      <c r="G39" s="9" t="s">
        <v>237</v>
      </c>
      <c r="H39" s="9" t="s">
        <v>238</v>
      </c>
      <c r="I39" s="8" t="s">
        <v>109</v>
      </c>
      <c r="J39" s="13">
        <v>45952.0</v>
      </c>
      <c r="K39" s="11" t="s">
        <v>254</v>
      </c>
      <c r="L39" s="2" t="s">
        <v>26</v>
      </c>
    </row>
    <row r="40" ht="65.25" customHeight="1">
      <c r="A40" s="8" t="s">
        <v>292</v>
      </c>
      <c r="B40" s="11" t="s">
        <v>293</v>
      </c>
      <c r="C40" s="11" t="s">
        <v>294</v>
      </c>
      <c r="D40" s="8" t="s">
        <v>19</v>
      </c>
      <c r="E40" s="11" t="s">
        <v>295</v>
      </c>
      <c r="F40" s="12" t="s">
        <v>296</v>
      </c>
      <c r="G40" s="12" t="s">
        <v>251</v>
      </c>
      <c r="H40" s="12" t="s">
        <v>252</v>
      </c>
      <c r="I40" s="11" t="s">
        <v>297</v>
      </c>
      <c r="J40" s="13">
        <v>45952.0</v>
      </c>
      <c r="K40" s="11" t="s">
        <v>254</v>
      </c>
      <c r="L40" s="2" t="s">
        <v>26</v>
      </c>
    </row>
    <row r="41" ht="82.5" customHeight="1">
      <c r="A41" s="8" t="s">
        <v>298</v>
      </c>
      <c r="B41" s="11" t="s">
        <v>299</v>
      </c>
      <c r="C41" s="11" t="s">
        <v>300</v>
      </c>
      <c r="D41" s="8" t="s">
        <v>19</v>
      </c>
      <c r="E41" s="11" t="s">
        <v>295</v>
      </c>
      <c r="F41" s="12" t="s">
        <v>296</v>
      </c>
      <c r="G41" s="12" t="s">
        <v>301</v>
      </c>
      <c r="H41" s="12" t="s">
        <v>302</v>
      </c>
      <c r="I41" s="11" t="s">
        <v>303</v>
      </c>
      <c r="J41" s="13">
        <v>45952.0</v>
      </c>
      <c r="K41" s="11" t="s">
        <v>254</v>
      </c>
      <c r="L41" s="2" t="s">
        <v>26</v>
      </c>
    </row>
    <row r="42" ht="57.0" customHeight="1">
      <c r="A42" s="8"/>
      <c r="B42" s="2"/>
      <c r="C42" s="2"/>
      <c r="D42" s="8"/>
      <c r="E42" s="2"/>
      <c r="F42" s="4"/>
      <c r="G42" s="4"/>
      <c r="H42" s="4"/>
      <c r="I42" s="2"/>
      <c r="J42" s="13"/>
      <c r="K42" s="11"/>
      <c r="L42" s="2"/>
    </row>
    <row r="43" ht="54.75" customHeight="1">
      <c r="A43" s="8"/>
      <c r="B43" s="2"/>
      <c r="C43" s="2"/>
      <c r="D43" s="8"/>
      <c r="E43" s="2"/>
      <c r="F43" s="4"/>
      <c r="G43" s="4"/>
      <c r="H43" s="4"/>
      <c r="I43" s="2"/>
      <c r="J43" s="13"/>
      <c r="K43" s="11"/>
      <c r="L43" s="2"/>
    </row>
    <row r="44" ht="51.0" customHeight="1">
      <c r="A44" s="8"/>
      <c r="B44" s="2"/>
      <c r="C44" s="2"/>
      <c r="D44" s="8"/>
      <c r="E44" s="2"/>
      <c r="F44" s="4"/>
      <c r="G44" s="4"/>
      <c r="H44" s="4"/>
      <c r="I44" s="2"/>
      <c r="J44" s="13"/>
      <c r="K44" s="8"/>
      <c r="L44" s="2"/>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2025-11-10T11:56:05Z</dcterms:created>
  <dc:creator>JOSUE MICARONI DO ROSARIO</dc:creator>
</cp:coreProperties>
</file>